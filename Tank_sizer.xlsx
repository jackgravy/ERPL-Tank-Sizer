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221c10af18b6aa/ERPL/Flight Vehicle/"/>
    </mc:Choice>
  </mc:AlternateContent>
  <xr:revisionPtr revIDLastSave="498" documentId="14_{CB65BF49-55CC-1F4F-97B7-B5484BE99BBE}" xr6:coauthVersionLast="47" xr6:coauthVersionMax="47" xr10:uidLastSave="{7C751D9A-A080-4946-9B73-EEC8320E0ECE}"/>
  <bookViews>
    <workbookView xWindow="-120" yWindow="-120" windowWidth="38640" windowHeight="21120" xr2:uid="{D36D05A1-2599-AE4C-A5C6-7C09EA07D2CC}"/>
  </bookViews>
  <sheets>
    <sheet name="Main Calculator" sheetId="3" r:id="rId1"/>
    <sheet name="Downcomer" sheetId="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3" l="1"/>
  <c r="D14" i="3"/>
  <c r="J14" i="3" s="1"/>
  <c r="F37" i="3"/>
  <c r="L37" i="3" s="1"/>
  <c r="E37" i="3"/>
  <c r="K37" i="3" s="1"/>
  <c r="F34" i="3"/>
  <c r="L34" i="3" s="1"/>
  <c r="E34" i="3"/>
  <c r="K34" i="3" s="1"/>
  <c r="F25" i="3"/>
  <c r="E25" i="3"/>
  <c r="K25" i="3" s="1"/>
  <c r="E22" i="3"/>
  <c r="F22" i="3" s="1"/>
  <c r="F14" i="3"/>
  <c r="L14" i="3" s="1"/>
  <c r="E14" i="3"/>
  <c r="K14" i="3" s="1"/>
  <c r="F13" i="3"/>
  <c r="L13" i="3" s="1"/>
  <c r="E13" i="3"/>
  <c r="K13" i="3" s="1"/>
  <c r="F12" i="3"/>
  <c r="L12" i="3" s="1"/>
  <c r="E12" i="3"/>
  <c r="E18" i="3" s="1"/>
  <c r="K18" i="3" s="1"/>
  <c r="F11" i="3"/>
  <c r="L11" i="3" s="1"/>
  <c r="E11" i="3"/>
  <c r="K11" i="3" s="1"/>
  <c r="F10" i="3"/>
  <c r="E10" i="3"/>
  <c r="K10" i="3" s="1"/>
  <c r="L25" i="3"/>
  <c r="L10" i="3"/>
  <c r="J37" i="3"/>
  <c r="I37" i="3"/>
  <c r="I34" i="3"/>
  <c r="D34" i="3"/>
  <c r="J34" i="3" s="1"/>
  <c r="I25" i="3"/>
  <c r="C24" i="3"/>
  <c r="C26" i="3" s="1"/>
  <c r="C27" i="3" s="1"/>
  <c r="I22" i="3"/>
  <c r="D22" i="3"/>
  <c r="D24" i="3" s="1"/>
  <c r="D26" i="3" s="1"/>
  <c r="D18" i="3"/>
  <c r="J18" i="3" s="1"/>
  <c r="C18" i="3"/>
  <c r="I18" i="3" s="1"/>
  <c r="I14" i="3"/>
  <c r="J13" i="3"/>
  <c r="I13" i="3"/>
  <c r="J12" i="3"/>
  <c r="I12" i="3"/>
  <c r="J11" i="3"/>
  <c r="I11" i="3"/>
  <c r="J10" i="3"/>
  <c r="I10" i="3"/>
  <c r="D35" i="1"/>
  <c r="C35" i="1"/>
  <c r="D22" i="1"/>
  <c r="C22" i="1"/>
  <c r="J19" i="3" l="1"/>
  <c r="J20" i="3"/>
  <c r="K20" i="3"/>
  <c r="K19" i="3"/>
  <c r="E19" i="3" s="1"/>
  <c r="J22" i="3"/>
  <c r="J24" i="3" s="1"/>
  <c r="J26" i="3" s="1"/>
  <c r="J27" i="3" s="1"/>
  <c r="F24" i="3"/>
  <c r="F27" i="3" s="1"/>
  <c r="K12" i="3"/>
  <c r="F18" i="3"/>
  <c r="L18" i="3" s="1"/>
  <c r="I19" i="3"/>
  <c r="I36" i="3" s="1"/>
  <c r="I20" i="3"/>
  <c r="K36" i="3"/>
  <c r="E36" i="3" s="1"/>
  <c r="L36" i="3"/>
  <c r="F36" i="3" s="1"/>
  <c r="K22" i="3"/>
  <c r="E24" i="3"/>
  <c r="E26" i="3" s="1"/>
  <c r="E27" i="3" s="1"/>
  <c r="L22" i="3"/>
  <c r="L24" i="3" s="1"/>
  <c r="L26" i="3" s="1"/>
  <c r="L27" i="3" s="1"/>
  <c r="K24" i="3"/>
  <c r="K26" i="3" s="1"/>
  <c r="K27" i="3" s="1"/>
  <c r="I24" i="3"/>
  <c r="I26" i="3" s="1"/>
  <c r="I27" i="3" s="1"/>
  <c r="D27" i="3"/>
  <c r="C18" i="1"/>
  <c r="E18" i="1"/>
  <c r="K18" i="1" s="1"/>
  <c r="B18" i="1"/>
  <c r="H18" i="1" s="1"/>
  <c r="E11" i="1"/>
  <c r="K11" i="1" s="1"/>
  <c r="K12" i="1"/>
  <c r="E13" i="1"/>
  <c r="K13" i="1" s="1"/>
  <c r="E14" i="1"/>
  <c r="L16" i="1" s="1"/>
  <c r="E10" i="1"/>
  <c r="K10" i="1" s="1"/>
  <c r="D11" i="1"/>
  <c r="J11" i="1" s="1"/>
  <c r="D12" i="1"/>
  <c r="J12" i="1" s="1"/>
  <c r="D13" i="1"/>
  <c r="J13" i="1" s="1"/>
  <c r="D14" i="1"/>
  <c r="J14" i="1" s="1"/>
  <c r="D10" i="1"/>
  <c r="J10" i="1" s="1"/>
  <c r="J22" i="1"/>
  <c r="J25" i="1"/>
  <c r="J38" i="1"/>
  <c r="J35" i="1"/>
  <c r="I25" i="1"/>
  <c r="H25" i="1"/>
  <c r="I22" i="1"/>
  <c r="H22" i="1"/>
  <c r="I38" i="1"/>
  <c r="H38" i="1"/>
  <c r="I10" i="1"/>
  <c r="H10" i="1"/>
  <c r="I11" i="1"/>
  <c r="H11" i="1"/>
  <c r="I14" i="1"/>
  <c r="H14" i="1"/>
  <c r="I18" i="1"/>
  <c r="I35" i="1"/>
  <c r="K35" i="1" s="1"/>
  <c r="H35" i="1"/>
  <c r="B24" i="1"/>
  <c r="B26" i="1" s="1"/>
  <c r="B27" i="1" s="1"/>
  <c r="I13" i="1"/>
  <c r="H13" i="1"/>
  <c r="I12" i="1"/>
  <c r="H12" i="1"/>
  <c r="C24" i="1"/>
  <c r="C26" i="1" s="1"/>
  <c r="F26" i="3" l="1"/>
  <c r="L20" i="3"/>
  <c r="L19" i="3"/>
  <c r="F19" i="3" s="1"/>
  <c r="D19" i="3"/>
  <c r="I39" i="3"/>
  <c r="I28" i="3" s="1"/>
  <c r="I38" i="3"/>
  <c r="C38" i="3" s="1"/>
  <c r="C19" i="3"/>
  <c r="C21" i="3" s="1"/>
  <c r="K39" i="3"/>
  <c r="K28" i="3" s="1"/>
  <c r="K38" i="3"/>
  <c r="E38" i="3" s="1"/>
  <c r="N37" i="3" s="1"/>
  <c r="E21" i="3"/>
  <c r="C36" i="3"/>
  <c r="F21" i="3"/>
  <c r="J39" i="3"/>
  <c r="J28" i="3" s="1"/>
  <c r="J29" i="3" s="1"/>
  <c r="H19" i="1"/>
  <c r="D18" i="1"/>
  <c r="J18" i="1" s="1"/>
  <c r="K21" i="1"/>
  <c r="D24" i="1"/>
  <c r="D27" i="1" s="1"/>
  <c r="J20" i="1"/>
  <c r="J19" i="1"/>
  <c r="J39" i="1" s="1"/>
  <c r="I20" i="1"/>
  <c r="H20" i="1"/>
  <c r="I19" i="1"/>
  <c r="I37" i="1" s="1"/>
  <c r="C37" i="1" s="1"/>
  <c r="J24" i="1"/>
  <c r="J26" i="1" s="1"/>
  <c r="J27" i="1" s="1"/>
  <c r="C27" i="1"/>
  <c r="H24" i="1"/>
  <c r="H26" i="1" s="1"/>
  <c r="H27" i="1" s="1"/>
  <c r="I24" i="1"/>
  <c r="L39" i="3" l="1"/>
  <c r="L38" i="3"/>
  <c r="F38" i="3" s="1"/>
  <c r="E39" i="3"/>
  <c r="L21" i="3"/>
  <c r="K21" i="3"/>
  <c r="I21" i="3"/>
  <c r="I42" i="3" s="1"/>
  <c r="K29" i="3"/>
  <c r="E29" i="3" s="1"/>
  <c r="E28" i="3"/>
  <c r="L28" i="3"/>
  <c r="F39" i="3"/>
  <c r="C39" i="3"/>
  <c r="J38" i="3"/>
  <c r="D38" i="3" s="1"/>
  <c r="D21" i="3"/>
  <c r="J21" i="3" s="1"/>
  <c r="J32" i="3" s="1"/>
  <c r="J36" i="3"/>
  <c r="D36" i="3" s="1"/>
  <c r="K19" i="1"/>
  <c r="E19" i="1" s="1"/>
  <c r="E21" i="1"/>
  <c r="D26" i="1"/>
  <c r="D39" i="1"/>
  <c r="J40" i="1"/>
  <c r="D19" i="1"/>
  <c r="D21" i="1" s="1"/>
  <c r="J21" i="1" s="1"/>
  <c r="J43" i="1" s="1"/>
  <c r="J37" i="1"/>
  <c r="D37" i="1" s="1"/>
  <c r="I26" i="1"/>
  <c r="I27" i="1" s="1"/>
  <c r="B19" i="1"/>
  <c r="H40" i="1"/>
  <c r="H39" i="1"/>
  <c r="B39" i="1" s="1"/>
  <c r="I40" i="1"/>
  <c r="C40" i="1" s="1"/>
  <c r="I39" i="1"/>
  <c r="C39" i="1" s="1"/>
  <c r="H37" i="1"/>
  <c r="B37" i="1" s="1"/>
  <c r="C19" i="1"/>
  <c r="K42" i="3" l="1"/>
  <c r="E42" i="3" s="1"/>
  <c r="L42" i="3"/>
  <c r="F42" i="3" s="1"/>
  <c r="C42" i="3"/>
  <c r="I43" i="3"/>
  <c r="C43" i="3" s="1"/>
  <c r="I32" i="3"/>
  <c r="C32" i="3" s="1"/>
  <c r="C31" i="3"/>
  <c r="I31" i="3" s="1"/>
  <c r="K43" i="3"/>
  <c r="E43" i="3" s="1"/>
  <c r="K32" i="3"/>
  <c r="E32" i="3" s="1"/>
  <c r="E31" i="3"/>
  <c r="K31" i="3" s="1"/>
  <c r="L43" i="3"/>
  <c r="F43" i="3" s="1"/>
  <c r="L32" i="3"/>
  <c r="F32" i="3" s="1"/>
  <c r="F31" i="3"/>
  <c r="L31" i="3" s="1"/>
  <c r="L29" i="3"/>
  <c r="F29" i="3" s="1"/>
  <c r="F28" i="3"/>
  <c r="D39" i="3"/>
  <c r="C21" i="1"/>
  <c r="I21" i="1" s="1"/>
  <c r="I33" i="1" s="1"/>
  <c r="C33" i="1" s="1"/>
  <c r="B21" i="1"/>
  <c r="H21" i="1" s="1"/>
  <c r="H43" i="1" s="1"/>
  <c r="J33" i="1"/>
  <c r="D33" i="1" s="1"/>
  <c r="J41" i="1"/>
  <c r="J44" i="1"/>
  <c r="D44" i="1" s="1"/>
  <c r="B40" i="1"/>
  <c r="D32" i="1"/>
  <c r="J32" i="1" s="1"/>
  <c r="D43" i="1"/>
  <c r="D40" i="1"/>
  <c r="B32" i="1"/>
  <c r="H32" i="1" s="1"/>
  <c r="I28" i="1"/>
  <c r="J42" i="3" l="1"/>
  <c r="D42" i="3" s="1"/>
  <c r="I44" i="3"/>
  <c r="I45" i="3"/>
  <c r="D31" i="3"/>
  <c r="J31" i="3" s="1"/>
  <c r="J43" i="3"/>
  <c r="D43" i="3" s="1"/>
  <c r="D32" i="3"/>
  <c r="L45" i="3"/>
  <c r="L44" i="3"/>
  <c r="K45" i="3"/>
  <c r="K44" i="3"/>
  <c r="D29" i="3"/>
  <c r="D28" i="3"/>
  <c r="C44" i="3"/>
  <c r="C45" i="3"/>
  <c r="C32" i="1"/>
  <c r="I32" i="1" s="1"/>
  <c r="I43" i="1"/>
  <c r="I44" i="1"/>
  <c r="C44" i="1" s="1"/>
  <c r="H44" i="1"/>
  <c r="B44" i="1" s="1"/>
  <c r="H33" i="1"/>
  <c r="B33" i="1" s="1"/>
  <c r="B43" i="1"/>
  <c r="J46" i="1"/>
  <c r="D46" i="1"/>
  <c r="D45" i="1"/>
  <c r="J45" i="1"/>
  <c r="D41" i="1"/>
  <c r="I29" i="1"/>
  <c r="C29" i="1" s="1"/>
  <c r="C28" i="1"/>
  <c r="J44" i="3" l="1"/>
  <c r="J45" i="3"/>
  <c r="E45" i="3"/>
  <c r="E44" i="3"/>
  <c r="F45" i="3"/>
  <c r="F44" i="3"/>
  <c r="D44" i="3"/>
  <c r="D45" i="3"/>
  <c r="B45" i="1"/>
  <c r="I46" i="1"/>
  <c r="C43" i="1"/>
  <c r="C45" i="1" s="1"/>
  <c r="H46" i="1"/>
  <c r="H45" i="1"/>
  <c r="B46" i="1"/>
  <c r="I45" i="1"/>
  <c r="C46" i="1"/>
  <c r="C28" i="3" l="1"/>
  <c r="I29" i="3"/>
  <c r="C29" i="3" s="1"/>
  <c r="B28" i="1"/>
  <c r="D28" i="1"/>
  <c r="H28" i="1"/>
  <c r="J28" i="1"/>
  <c r="L28" i="1"/>
  <c r="B29" i="1"/>
  <c r="D29" i="1"/>
  <c r="E29" i="1"/>
  <c r="H29" i="1"/>
  <c r="J29" i="1"/>
  <c r="L2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<sst xmlns="http://schemas.openxmlformats.org/spreadsheetml/2006/main" count="227" uniqueCount="94">
  <si>
    <t>FUEL</t>
  </si>
  <si>
    <t>LOX</t>
  </si>
  <si>
    <t>CONSTANTS/DESIGN REQUIREMENTS</t>
  </si>
  <si>
    <t>VARIABLES</t>
  </si>
  <si>
    <t>VEHICLE DIAMETER (in)</t>
  </si>
  <si>
    <t>RUN TIME (s)</t>
  </si>
  <si>
    <t>DENSITY (kg/m3)</t>
  </si>
  <si>
    <t>MASS FLOW (kg/s)</t>
  </si>
  <si>
    <t>PROPELLANT MASS (kg)</t>
  </si>
  <si>
    <t>PROPELLANT VOLUME (m3)</t>
  </si>
  <si>
    <t>INTERNAL HEIGHT (m)</t>
  </si>
  <si>
    <t>Thin walled stress approximation</t>
  </si>
  <si>
    <t>Hoop Stress</t>
  </si>
  <si>
    <t>Axial Stress</t>
  </si>
  <si>
    <t>TANK WALL THICKNESS (m)</t>
  </si>
  <si>
    <t>PRESSURE (Pa)</t>
  </si>
  <si>
    <t>CONVERSION TABLE TO SI UNITS</t>
  </si>
  <si>
    <t>HOOP STRESS (MPa)</t>
  </si>
  <si>
    <t>AXIAL STRESS (MPa)</t>
  </si>
  <si>
    <t>EDIT</t>
  </si>
  <si>
    <t>CALCULATED VALUES</t>
  </si>
  <si>
    <t>CONVERSIONS</t>
  </si>
  <si>
    <t>MAXIMUM EXPECTED OPERATING PRESSURE (psi)</t>
  </si>
  <si>
    <t>Ellipsoidal Shell stress approximation</t>
  </si>
  <si>
    <t>Hoop Stress (Crown)</t>
  </si>
  <si>
    <t>Hoop Stress (Equator)</t>
  </si>
  <si>
    <t>Note 1</t>
  </si>
  <si>
    <t>Maximum Allowable Stress</t>
  </si>
  <si>
    <t>Aluminium: Table 1b (Non-ferrous metals)</t>
  </si>
  <si>
    <t>Spec number 209 (Plate-sheet)</t>
  </si>
  <si>
    <t>Taken from ASME BPVC Section 2, Part D, Subpart 1, Page 180</t>
  </si>
  <si>
    <t>Assuming T6</t>
  </si>
  <si>
    <t>WELD EFFICIENCY, E</t>
  </si>
  <si>
    <t>HOOP STRESS (Pa)</t>
  </si>
  <si>
    <t>AXIAL STRESS (Pa)</t>
  </si>
  <si>
    <t>CAP MINIMUM THICKNESS (m)</t>
  </si>
  <si>
    <t>TANK OUTER DIAMETER (m)</t>
  </si>
  <si>
    <t>TANK INNER DIAMETER (m)</t>
  </si>
  <si>
    <t>TANK OUTER DIAMETER (in)</t>
  </si>
  <si>
    <t>TANK INNER DIAMETER (in)</t>
  </si>
  <si>
    <t>INTERNAL HEIGHT (in)</t>
  </si>
  <si>
    <t>CAP MINIMUM THICKNESS (in)</t>
  </si>
  <si>
    <t>Maximum Allowable Stress, S (Pa)</t>
  </si>
  <si>
    <t xml:space="preserve">TANK WALL THICKNESS (in) </t>
  </si>
  <si>
    <t>Circumferential Stress</t>
  </si>
  <si>
    <t>Longitudinal Stress</t>
  </si>
  <si>
    <t>Inner diameter is based on whichever one of these are smaller ------------&gt;</t>
  </si>
  <si>
    <t>We will use a formed section not machined to save weight</t>
  </si>
  <si>
    <t>Formed Outlet</t>
  </si>
  <si>
    <t>Machined Inlet</t>
  </si>
  <si>
    <t>Assuming single weld without backing strip (Worst case)</t>
  </si>
  <si>
    <t>MAXIMUM ALLOWABLE WORKING PRESSURE (psi) (Long. Stress)</t>
  </si>
  <si>
    <t>MAXIMUM ALLOWABLE WORKING PRESSURE (psi) (Circ. Stress)</t>
  </si>
  <si>
    <t>HYDROSTATIC TEST PRESSURE (psi)</t>
  </si>
  <si>
    <t>ASME Sec VIII UG 27</t>
  </si>
  <si>
    <t>ASME Sec VIII UG 32</t>
  </si>
  <si>
    <t>MAXIMUM ALLOWABLE STRESS, S (Mpa)</t>
  </si>
  <si>
    <t>CAP SKIRT LENGTH (in)</t>
  </si>
  <si>
    <t>CAP HEAD HEIGHT (in)</t>
  </si>
  <si>
    <t>CAP VOLUME (m3)</t>
  </si>
  <si>
    <t>CAP SKIRT LENGTH (m)</t>
  </si>
  <si>
    <t>CAP HEAD HEIGHT (m)</t>
  </si>
  <si>
    <t>CAP TOTAL VOLUME (m3)</t>
  </si>
  <si>
    <t>h  = Di/4</t>
  </si>
  <si>
    <t>SHELL VOLUME (m3)</t>
  </si>
  <si>
    <t>MAXIMUM ALLOWABLE WORKING PRESSURE (Pa) (Circ. Stress)</t>
  </si>
  <si>
    <t>MAXIMUM ALLOWABLE WORKING PRESSURE (Pa) (Long. Stress)</t>
  </si>
  <si>
    <t>HYDROSTATIC TEST PRESSURE (Pa)</t>
  </si>
  <si>
    <t xml:space="preserve"> 2:1 ELLIPSOIDAL HEAD</t>
  </si>
  <si>
    <t>USABLE UNITS TABLE</t>
  </si>
  <si>
    <t>GENERAL VARIABLES</t>
  </si>
  <si>
    <t>TOTAL TANK</t>
  </si>
  <si>
    <t>ULLAGE REQUIREMENT (%)</t>
  </si>
  <si>
    <t>REQUIRED TANK VOLUME (m3)</t>
  </si>
  <si>
    <t>Transient Analysis of X34 Pressurisation System</t>
  </si>
  <si>
    <t>OUTLET</t>
  </si>
  <si>
    <t>INLET</t>
  </si>
  <si>
    <t>COMMON DOME FUEL</t>
  </si>
  <si>
    <t>DOWN COMER</t>
  </si>
  <si>
    <t>*Note 1 ASME Sec II Table 1B (SF 2.5)</t>
  </si>
  <si>
    <t>Y</t>
  </si>
  <si>
    <t>E</t>
  </si>
  <si>
    <t>WLD EFF, W</t>
  </si>
  <si>
    <t>Pipe Volume</t>
  </si>
  <si>
    <t>Pipe Length</t>
  </si>
  <si>
    <t>ASME Sec VIII UG 99 (1.5x MAWP FAR Regulation), LSR is 1 as chart does not go lower than 40 C</t>
  </si>
  <si>
    <t>RELIEF PRESSURE (psi)</t>
  </si>
  <si>
    <t>FAR Regualation</t>
  </si>
  <si>
    <t>RELIEF PRESSURE (Pa)</t>
  </si>
  <si>
    <t>REFERENCED</t>
  </si>
  <si>
    <t>DON'T EDIT</t>
  </si>
  <si>
    <t>TORISPHERICAL HEAD</t>
  </si>
  <si>
    <t>1.25x MEOP</t>
  </si>
  <si>
    <t>ERPL Flight Vehicle Propellant Tank Sizer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</si>
</sst>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"/>
    <numFmt numFmtId="165" formatCode="0.0000000"/>
    <numFmt numFmtId="166" formatCode="0.000000"/>
    <numFmt numFmtId="167" formatCode="0.00000"/>
    <numFmt numFmtId="168" formatCode="0.0000"/>
    <numFmt numFmtId="169" formatCode="0.0"/>
  </numFmts>
  <fonts count="3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36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2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8" fontId="0" fillId="4" borderId="1" xfId="0" applyNumberFormat="1" applyFill="1" applyBorder="1" applyAlignment="1">
      <alignment horizontal="center" vertical="center"/>
    </xf>
    <xf numFmtId="168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9" fontId="0" fillId="4" borderId="1" xfId="0" applyNumberFormat="1" applyFill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2" fontId="0" fillId="3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8" fontId="0" fillId="2" borderId="1" xfId="0" applyNumberFormat="1" applyFill="1" applyBorder="1" applyAlignment="1">
      <alignment horizontal="center" vertical="center"/>
    </xf>
    <xf numFmtId="12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6" fontId="0" fillId="4" borderId="11" xfId="0" applyNumberFormat="1" applyFill="1" applyBorder="1" applyAlignment="1">
      <alignment horizontal="center" vertical="center"/>
    </xf>
    <xf numFmtId="166" fontId="0" fillId="4" borderId="22" xfId="0" applyNumberForma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417109</xdr:colOff>
      <xdr:row>20</xdr:row>
      <xdr:rowOff>29713</xdr:rowOff>
    </xdr:from>
    <xdr:ext cx="784177" cy="3397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25DD115-589D-9B44-BD29-50FC7C1FA876}"/>
                </a:ext>
              </a:extLst>
            </xdr:cNvPr>
            <xdr:cNvSpPr txBox="1"/>
          </xdr:nvSpPr>
          <xdr:spPr>
            <a:xfrm>
              <a:off x="21232409" y="4855713"/>
              <a:ext cx="784177" cy="3397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×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𝑏𝑡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25DD115-589D-9B44-BD29-50FC7C1FA876}"/>
                </a:ext>
              </a:extLst>
            </xdr:cNvPr>
            <xdr:cNvSpPr txBox="1"/>
          </xdr:nvSpPr>
          <xdr:spPr>
            <a:xfrm>
              <a:off x="21232409" y="4855713"/>
              <a:ext cx="784177" cy="3397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𝜎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ℎ=(𝑃 ×𝑎^2)/2𝑏𝑡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457201</xdr:colOff>
      <xdr:row>24</xdr:row>
      <xdr:rowOff>139700</xdr:rowOff>
    </xdr:from>
    <xdr:ext cx="1092199" cy="431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B4DBE0C-C80A-2349-AEF5-E24E768F1F03}"/>
                </a:ext>
              </a:extLst>
            </xdr:cNvPr>
            <xdr:cNvSpPr txBox="1"/>
          </xdr:nvSpPr>
          <xdr:spPr>
            <a:xfrm>
              <a:off x="23342601" y="5562600"/>
              <a:ext cx="1092199" cy="431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×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B4DBE0C-C80A-2349-AEF5-E24E768F1F03}"/>
                </a:ext>
              </a:extLst>
            </xdr:cNvPr>
            <xdr:cNvSpPr txBox="1"/>
          </xdr:nvSpPr>
          <xdr:spPr>
            <a:xfrm>
              <a:off x="23342601" y="5562600"/>
              <a:ext cx="1092199" cy="431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𝜎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=(𝑃 ×𝑟_2)/2𝑡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15</xdr:col>
      <xdr:colOff>0</xdr:colOff>
      <xdr:row>27</xdr:row>
      <xdr:rowOff>199029</xdr:rowOff>
    </xdr:from>
    <xdr:to>
      <xdr:col>19</xdr:col>
      <xdr:colOff>245176</xdr:colOff>
      <xdr:row>44</xdr:row>
      <xdr:rowOff>101647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05B8BA-B515-7241-99F5-BD89EEF57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89800" y="6460129"/>
          <a:ext cx="5020376" cy="4014430"/>
        </a:xfrm>
        <a:prstGeom prst="rect">
          <a:avLst/>
        </a:prstGeom>
      </xdr:spPr>
    </xdr:pic>
    <xdr:clientData/>
  </xdr:twoCellAnchor>
  <xdr:oneCellAnchor>
    <xdr:from>
      <xdr:col>16</xdr:col>
      <xdr:colOff>441562</xdr:colOff>
      <xdr:row>22</xdr:row>
      <xdr:rowOff>39949</xdr:rowOff>
    </xdr:from>
    <xdr:ext cx="784177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700814C-81BA-D841-811B-FDC9A133575F}"/>
                </a:ext>
              </a:extLst>
            </xdr:cNvPr>
            <xdr:cNvSpPr txBox="1"/>
          </xdr:nvSpPr>
          <xdr:spPr>
            <a:xfrm>
              <a:off x="21256862" y="5272349"/>
              <a:ext cx="784177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700814C-81BA-D841-811B-FDC9A133575F}"/>
                </a:ext>
              </a:extLst>
            </xdr:cNvPr>
            <xdr:cNvSpPr txBox="1"/>
          </xdr:nvSpPr>
          <xdr:spPr>
            <a:xfrm>
              <a:off x="21256862" y="5272349"/>
              <a:ext cx="784177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𝜎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ℎ=(𝑃 ×𝑎)/2𝑡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21</xdr:col>
      <xdr:colOff>9525</xdr:colOff>
      <xdr:row>27</xdr:row>
      <xdr:rowOff>9525</xdr:rowOff>
    </xdr:from>
    <xdr:to>
      <xdr:col>26</xdr:col>
      <xdr:colOff>737381</xdr:colOff>
      <xdr:row>53</xdr:row>
      <xdr:rowOff>117906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CD6C5F9-F549-8542-BA45-D028957C4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52325" y="6270625"/>
          <a:ext cx="6125355" cy="6102781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56</xdr:row>
      <xdr:rowOff>0</xdr:rowOff>
    </xdr:from>
    <xdr:to>
      <xdr:col>25</xdr:col>
      <xdr:colOff>23327</xdr:colOff>
      <xdr:row>81</xdr:row>
      <xdr:rowOff>121376</xdr:rowOff>
    </xdr:to>
    <xdr:pic>
      <xdr:nvPicPr>
        <xdr:cNvPr id="7" name="Picture 5">
          <a:extLst>
            <a:ext uri="{FF2B5EF4-FFF2-40B4-BE49-F238E27FC236}">
              <a16:creationId xmlns:a16="http://schemas.microsoft.com/office/drawing/2014/main" id="{5E845C03-87DB-9041-92B2-0AE895910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9800" y="13271500"/>
          <a:ext cx="7897327" cy="52013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417109</xdr:colOff>
      <xdr:row>20</xdr:row>
      <xdr:rowOff>29713</xdr:rowOff>
    </xdr:from>
    <xdr:ext cx="784177" cy="3397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1">
              <a:extLst>
                <a:ext uri="{FF2B5EF4-FFF2-40B4-BE49-F238E27FC236}">
                  <a16:creationId xmlns:a16="http://schemas.microsoft.com/office/drawing/2014/main" id="{2699223B-CDBE-C493-4C6A-250F83FB4E75}"/>
                </a:ext>
              </a:extLst>
            </xdr:cNvPr>
            <xdr:cNvSpPr txBox="1"/>
          </xdr:nvSpPr>
          <xdr:spPr>
            <a:xfrm>
              <a:off x="12373116" y="3029377"/>
              <a:ext cx="784177" cy="3397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×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𝑏𝑡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699223B-CDBE-C493-4C6A-250F83FB4E75}"/>
                </a:ext>
              </a:extLst>
            </xdr:cNvPr>
            <xdr:cNvSpPr txBox="1"/>
          </xdr:nvSpPr>
          <xdr:spPr>
            <a:xfrm>
              <a:off x="12373116" y="3029377"/>
              <a:ext cx="784177" cy="3397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𝜎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ℎ=(𝑃 ×𝑎^2)/2𝑏𝑡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15</xdr:col>
      <xdr:colOff>433601</xdr:colOff>
      <xdr:row>24</xdr:row>
      <xdr:rowOff>49758</xdr:rowOff>
    </xdr:from>
    <xdr:ext cx="784177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2">
              <a:extLst>
                <a:ext uri="{FF2B5EF4-FFF2-40B4-BE49-F238E27FC236}">
                  <a16:creationId xmlns:a16="http://schemas.microsoft.com/office/drawing/2014/main" id="{1FAA632F-FBEA-4117-B211-366E0321D1DB}"/>
                </a:ext>
              </a:extLst>
            </xdr:cNvPr>
            <xdr:cNvSpPr txBox="1"/>
          </xdr:nvSpPr>
          <xdr:spPr>
            <a:xfrm>
              <a:off x="12389608" y="3447482"/>
              <a:ext cx="784177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×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FAA632F-FBEA-4117-B211-366E0321D1DB}"/>
                </a:ext>
              </a:extLst>
            </xdr:cNvPr>
            <xdr:cNvSpPr txBox="1"/>
          </xdr:nvSpPr>
          <xdr:spPr>
            <a:xfrm>
              <a:off x="12389608" y="3447482"/>
              <a:ext cx="784177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𝜎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=(𝑃 ×𝑟_2)/2𝑡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14</xdr:col>
      <xdr:colOff>0</xdr:colOff>
      <xdr:row>27</xdr:row>
      <xdr:rowOff>199029</xdr:rowOff>
    </xdr:from>
    <xdr:to>
      <xdr:col>20</xdr:col>
      <xdr:colOff>67376</xdr:colOff>
      <xdr:row>44</xdr:row>
      <xdr:rowOff>289159</xdr:rowOff>
    </xdr:to>
    <xdr:pic>
      <xdr:nvPicPr>
        <xdr:cNvPr id="52" name="Picture 3">
          <a:extLst>
            <a:ext uri="{FF2B5EF4-FFF2-40B4-BE49-F238E27FC236}">
              <a16:creationId xmlns:a16="http://schemas.microsoft.com/office/drawing/2014/main" id="{88482D76-A29B-BE56-EF9A-047D8F1ED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4347" y="4200951"/>
          <a:ext cx="5020376" cy="4058216"/>
        </a:xfrm>
        <a:prstGeom prst="rect">
          <a:avLst/>
        </a:prstGeom>
      </xdr:spPr>
    </xdr:pic>
    <xdr:clientData/>
  </xdr:twoCellAnchor>
  <xdr:oneCellAnchor>
    <xdr:from>
      <xdr:col>15</xdr:col>
      <xdr:colOff>441562</xdr:colOff>
      <xdr:row>22</xdr:row>
      <xdr:rowOff>39949</xdr:rowOff>
    </xdr:from>
    <xdr:ext cx="784177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4">
              <a:extLst>
                <a:ext uri="{FF2B5EF4-FFF2-40B4-BE49-F238E27FC236}">
                  <a16:creationId xmlns:a16="http://schemas.microsoft.com/office/drawing/2014/main" id="{AE523E7C-B006-4195-AA60-FA82FCEFE8B6}"/>
                </a:ext>
              </a:extLst>
            </xdr:cNvPr>
            <xdr:cNvSpPr txBox="1"/>
          </xdr:nvSpPr>
          <xdr:spPr>
            <a:xfrm>
              <a:off x="12397569" y="3437673"/>
              <a:ext cx="784177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E523E7C-B006-4195-AA60-FA82FCEFE8B6}"/>
                </a:ext>
              </a:extLst>
            </xdr:cNvPr>
            <xdr:cNvSpPr txBox="1"/>
          </xdr:nvSpPr>
          <xdr:spPr>
            <a:xfrm>
              <a:off x="12397569" y="3437673"/>
              <a:ext cx="784177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𝜎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ℎ=(𝑃 ×𝑎)/2𝑡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20</xdr:col>
      <xdr:colOff>9525</xdr:colOff>
      <xdr:row>27</xdr:row>
      <xdr:rowOff>9525</xdr:rowOff>
    </xdr:from>
    <xdr:to>
      <xdr:col>26</xdr:col>
      <xdr:colOff>648480</xdr:colOff>
      <xdr:row>52</xdr:row>
      <xdr:rowOff>117906</xdr:rowOff>
    </xdr:to>
    <xdr:pic>
      <xdr:nvPicPr>
        <xdr:cNvPr id="67" name="Picture 6">
          <a:extLst>
            <a:ext uri="{FF2B5EF4-FFF2-40B4-BE49-F238E27FC236}">
              <a16:creationId xmlns:a16="http://schemas.microsoft.com/office/drawing/2014/main" id="{8C3A51FF-AB95-6C49-5BBE-91CF4CD60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25875" y="4438650"/>
          <a:ext cx="5591955" cy="6144482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57</xdr:row>
      <xdr:rowOff>0</xdr:rowOff>
    </xdr:from>
    <xdr:to>
      <xdr:col>22</xdr:col>
      <xdr:colOff>759927</xdr:colOff>
      <xdr:row>82</xdr:row>
      <xdr:rowOff>121376</xdr:rowOff>
    </xdr:to>
    <xdr:pic>
      <xdr:nvPicPr>
        <xdr:cNvPr id="70" name="Picture 5">
          <a:extLst>
            <a:ext uri="{FF2B5EF4-FFF2-40B4-BE49-F238E27FC236}">
              <a16:creationId xmlns:a16="http://schemas.microsoft.com/office/drawing/2014/main" id="{67B91F53-65D1-715C-178D-8DC8121FD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68475" y="11239500"/>
          <a:ext cx="7897327" cy="5201376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0BFF2-5770-FA46-A6CD-88D717D03ED6}">
  <dimension ref="B1:W52"/>
  <sheetViews>
    <sheetView tabSelected="1" zoomScale="85" zoomScaleNormal="85" workbookViewId="0">
      <selection activeCell="P4" sqref="P4"/>
    </sheetView>
  </sheetViews>
  <sheetFormatPr defaultColWidth="10.875" defaultRowHeight="15.75" x14ac:dyDescent="0.25"/>
  <cols>
    <col min="1" max="1" width="10.875" style="13"/>
    <col min="2" max="2" width="36.5" style="13" customWidth="1"/>
    <col min="3" max="6" width="11.875" style="13" customWidth="1"/>
    <col min="7" max="7" width="35.5" style="20" customWidth="1"/>
    <col min="8" max="8" width="26.875" style="13" customWidth="1"/>
    <col min="9" max="9" width="20.375" style="13" customWidth="1"/>
    <col min="10" max="10" width="18.875" style="13" customWidth="1"/>
    <col min="11" max="11" width="20.375" style="13" customWidth="1"/>
    <col min="12" max="12" width="15.875" style="13" customWidth="1"/>
    <col min="13" max="13" width="22.5" style="13" customWidth="1"/>
    <col min="14" max="14" width="11.125" style="13" customWidth="1"/>
    <col min="15" max="15" width="10.5" style="13" customWidth="1"/>
    <col min="16" max="16" width="21.875" style="13" customWidth="1"/>
    <col min="17" max="17" width="19.125" style="13" customWidth="1"/>
    <col min="18" max="22" width="10.875" style="13"/>
    <col min="23" max="23" width="20.5" style="13" customWidth="1"/>
    <col min="24" max="24" width="10.875" style="13"/>
    <col min="25" max="25" width="17.875" style="13" customWidth="1"/>
    <col min="26" max="16384" width="10.875" style="13"/>
  </cols>
  <sheetData>
    <row r="1" spans="2:23" ht="16.5" thickBot="1" x14ac:dyDescent="0.3"/>
    <row r="2" spans="2:23" ht="21.75" customHeight="1" thickBot="1" x14ac:dyDescent="0.3">
      <c r="B2" s="68" t="s">
        <v>93</v>
      </c>
      <c r="C2" s="68"/>
      <c r="D2" s="68"/>
      <c r="E2" s="68"/>
      <c r="F2" s="68"/>
      <c r="G2" s="69"/>
      <c r="H2" s="70"/>
      <c r="I2" s="14" t="s">
        <v>19</v>
      </c>
      <c r="J2" s="15" t="s">
        <v>3</v>
      </c>
    </row>
    <row r="3" spans="2:23" ht="15.75" customHeight="1" x14ac:dyDescent="0.25">
      <c r="B3" s="68"/>
      <c r="C3" s="68"/>
      <c r="D3" s="68"/>
      <c r="E3" s="68"/>
      <c r="F3" s="68"/>
      <c r="G3" s="69"/>
      <c r="H3" s="70"/>
      <c r="I3" s="54" t="s">
        <v>90</v>
      </c>
      <c r="J3" s="16" t="s">
        <v>89</v>
      </c>
    </row>
    <row r="4" spans="2:23" ht="21" customHeight="1" x14ac:dyDescent="0.25">
      <c r="B4" s="68"/>
      <c r="C4" s="68"/>
      <c r="D4" s="68"/>
      <c r="E4" s="68"/>
      <c r="F4" s="68"/>
      <c r="G4" s="69"/>
      <c r="H4" s="70"/>
      <c r="I4" s="60"/>
      <c r="J4" s="17" t="s">
        <v>20</v>
      </c>
    </row>
    <row r="5" spans="2:23" ht="27" customHeight="1" thickBot="1" x14ac:dyDescent="0.3">
      <c r="B5" s="68"/>
      <c r="C5" s="68"/>
      <c r="D5" s="68"/>
      <c r="E5" s="68"/>
      <c r="F5" s="68"/>
      <c r="G5" s="69"/>
      <c r="H5" s="70"/>
      <c r="I5" s="61"/>
      <c r="J5" s="18" t="s">
        <v>21</v>
      </c>
    </row>
    <row r="7" spans="2:23" x14ac:dyDescent="0.25">
      <c r="B7" s="41" t="s">
        <v>69</v>
      </c>
      <c r="C7" s="41"/>
      <c r="D7" s="41"/>
      <c r="E7" s="32"/>
      <c r="F7" s="32"/>
      <c r="H7" s="41" t="s">
        <v>16</v>
      </c>
      <c r="I7" s="41"/>
      <c r="J7" s="41"/>
      <c r="K7" s="32"/>
      <c r="L7" s="32"/>
    </row>
    <row r="8" spans="2:23" x14ac:dyDescent="0.25">
      <c r="B8" s="2"/>
      <c r="C8" s="2" t="s">
        <v>0</v>
      </c>
      <c r="D8" s="2" t="s">
        <v>1</v>
      </c>
      <c r="E8" s="2" t="s">
        <v>0</v>
      </c>
      <c r="F8" s="2" t="s">
        <v>1</v>
      </c>
      <c r="H8" s="2"/>
      <c r="I8" s="2" t="s">
        <v>0</v>
      </c>
      <c r="J8" s="2" t="s">
        <v>1</v>
      </c>
      <c r="K8" s="2" t="s">
        <v>0</v>
      </c>
      <c r="L8" s="2" t="s">
        <v>1</v>
      </c>
    </row>
    <row r="9" spans="2:23" x14ac:dyDescent="0.25">
      <c r="B9" s="41" t="s">
        <v>2</v>
      </c>
      <c r="C9" s="41"/>
      <c r="D9" s="41"/>
      <c r="E9" s="32"/>
      <c r="F9" s="32"/>
      <c r="H9" s="38" t="s">
        <v>2</v>
      </c>
      <c r="I9" s="39"/>
      <c r="J9" s="39"/>
      <c r="K9" s="39"/>
      <c r="L9" s="39"/>
    </row>
    <row r="10" spans="2:23" x14ac:dyDescent="0.25">
      <c r="B10" s="8" t="s">
        <v>6</v>
      </c>
      <c r="C10" s="10">
        <v>770</v>
      </c>
      <c r="D10" s="10">
        <v>1141</v>
      </c>
      <c r="E10" s="12">
        <f>C10</f>
        <v>770</v>
      </c>
      <c r="F10" s="12">
        <f>D10</f>
        <v>1141</v>
      </c>
      <c r="H10" s="1" t="s">
        <v>6</v>
      </c>
      <c r="I10" s="1">
        <f t="shared" ref="I10:L11" si="0">C10</f>
        <v>770</v>
      </c>
      <c r="J10" s="1">
        <f t="shared" si="0"/>
        <v>1141</v>
      </c>
      <c r="K10" s="1">
        <f t="shared" si="0"/>
        <v>770</v>
      </c>
      <c r="L10" s="1">
        <f t="shared" si="0"/>
        <v>1141</v>
      </c>
    </row>
    <row r="11" spans="2:23" x14ac:dyDescent="0.25">
      <c r="B11" s="8" t="s">
        <v>7</v>
      </c>
      <c r="C11" s="10">
        <v>3.3650000000000002</v>
      </c>
      <c r="D11" s="10">
        <v>6.7309999999999999</v>
      </c>
      <c r="E11" s="12">
        <f>C11</f>
        <v>3.3650000000000002</v>
      </c>
      <c r="F11" s="12">
        <f>D11</f>
        <v>6.7309999999999999</v>
      </c>
      <c r="H11" s="1" t="s">
        <v>7</v>
      </c>
      <c r="I11" s="1">
        <f t="shared" si="0"/>
        <v>3.3650000000000002</v>
      </c>
      <c r="J11" s="1">
        <f t="shared" si="0"/>
        <v>6.7309999999999999</v>
      </c>
      <c r="K11" s="1">
        <f t="shared" si="0"/>
        <v>3.3650000000000002</v>
      </c>
      <c r="L11" s="1">
        <f t="shared" si="0"/>
        <v>6.7309999999999999</v>
      </c>
    </row>
    <row r="12" spans="2:23" ht="16.5" thickBot="1" x14ac:dyDescent="0.3">
      <c r="B12" s="8" t="s">
        <v>4</v>
      </c>
      <c r="C12" s="10">
        <v>12</v>
      </c>
      <c r="D12" s="12">
        <v>12</v>
      </c>
      <c r="E12" s="12">
        <f>C12</f>
        <v>12</v>
      </c>
      <c r="F12" s="12">
        <f>C12</f>
        <v>12</v>
      </c>
      <c r="H12" s="1" t="s">
        <v>4</v>
      </c>
      <c r="I12" s="1">
        <f>C12*0.0254</f>
        <v>0.30479999999999996</v>
      </c>
      <c r="J12" s="1">
        <f>D12*0.0254</f>
        <v>0.30479999999999996</v>
      </c>
      <c r="K12" s="1">
        <f>E12*0.0254</f>
        <v>0.30479999999999996</v>
      </c>
      <c r="L12" s="1">
        <f>F12*0.0254</f>
        <v>0.30479999999999996</v>
      </c>
    </row>
    <row r="13" spans="2:23" ht="31.5" x14ac:dyDescent="0.25">
      <c r="B13" s="19" t="s">
        <v>22</v>
      </c>
      <c r="C13" s="10">
        <v>1000</v>
      </c>
      <c r="D13" s="10">
        <v>850</v>
      </c>
      <c r="E13" s="12">
        <f>C13</f>
        <v>1000</v>
      </c>
      <c r="F13" s="12">
        <f>D13</f>
        <v>850</v>
      </c>
      <c r="H13" s="1" t="s">
        <v>15</v>
      </c>
      <c r="I13" s="1">
        <f>C13*6894.76</f>
        <v>6894760</v>
      </c>
      <c r="J13" s="1">
        <f>D13*6894.76</f>
        <v>5860546</v>
      </c>
      <c r="K13" s="1">
        <f>E13*6894.76</f>
        <v>6894760</v>
      </c>
      <c r="L13" s="1">
        <f>F13*6894.76</f>
        <v>5860546</v>
      </c>
      <c r="P13" s="58" t="s">
        <v>11</v>
      </c>
      <c r="Q13" s="58"/>
      <c r="R13" s="58"/>
      <c r="T13" s="7" t="s">
        <v>26</v>
      </c>
      <c r="U13" s="59" t="s">
        <v>27</v>
      </c>
      <c r="V13" s="59"/>
      <c r="W13" s="59"/>
    </row>
    <row r="14" spans="2:23" x14ac:dyDescent="0.25">
      <c r="B14" s="42" t="s">
        <v>32</v>
      </c>
      <c r="C14" s="56">
        <v>0.8</v>
      </c>
      <c r="D14" s="57">
        <f>C14</f>
        <v>0.8</v>
      </c>
      <c r="E14" s="57">
        <f>C14</f>
        <v>0.8</v>
      </c>
      <c r="F14" s="57">
        <f>C14</f>
        <v>0.8</v>
      </c>
      <c r="H14" s="37" t="s">
        <v>32</v>
      </c>
      <c r="I14" s="37">
        <f>C14</f>
        <v>0.8</v>
      </c>
      <c r="J14" s="37">
        <f>D14</f>
        <v>0.8</v>
      </c>
      <c r="K14" s="37">
        <f>E14</f>
        <v>0.8</v>
      </c>
      <c r="L14" s="37">
        <f>F14</f>
        <v>0.8</v>
      </c>
      <c r="P14" s="49" t="s">
        <v>12</v>
      </c>
      <c r="Q14" s="42" t="e" vm="1">
        <v>#VALUE!</v>
      </c>
      <c r="R14" s="42"/>
      <c r="T14" s="49" t="s">
        <v>30</v>
      </c>
      <c r="U14" s="49"/>
      <c r="V14" s="49"/>
      <c r="W14" s="49"/>
    </row>
    <row r="15" spans="2:23" x14ac:dyDescent="0.25">
      <c r="B15" s="42"/>
      <c r="C15" s="56"/>
      <c r="D15" s="57"/>
      <c r="E15" s="57"/>
      <c r="F15" s="57"/>
      <c r="H15" s="37"/>
      <c r="I15" s="37"/>
      <c r="J15" s="37"/>
      <c r="K15" s="37"/>
      <c r="L15" s="37"/>
      <c r="P15" s="49"/>
      <c r="Q15" s="42"/>
      <c r="R15" s="42"/>
      <c r="T15" s="49" t="s">
        <v>28</v>
      </c>
      <c r="U15" s="49"/>
      <c r="V15" s="49"/>
      <c r="W15" s="49"/>
    </row>
    <row r="16" spans="2:23" ht="31.5" x14ac:dyDescent="0.25">
      <c r="B16" s="42"/>
      <c r="C16" s="56"/>
      <c r="D16" s="57"/>
      <c r="E16" s="57"/>
      <c r="F16" s="57"/>
      <c r="G16" s="20" t="s">
        <v>50</v>
      </c>
      <c r="H16" s="37"/>
      <c r="I16" s="37"/>
      <c r="J16" s="37"/>
      <c r="K16" s="37"/>
      <c r="L16" s="37"/>
      <c r="P16" s="49" t="s">
        <v>13</v>
      </c>
      <c r="Q16" s="42" t="e" vm="2">
        <v>#VALUE!</v>
      </c>
      <c r="R16" s="42"/>
      <c r="T16" s="49" t="s">
        <v>29</v>
      </c>
      <c r="U16" s="49"/>
      <c r="V16" s="49"/>
      <c r="W16" s="49"/>
    </row>
    <row r="17" spans="2:23" x14ac:dyDescent="0.25">
      <c r="B17" s="41" t="s">
        <v>70</v>
      </c>
      <c r="C17" s="41"/>
      <c r="D17" s="41"/>
      <c r="E17" s="32"/>
      <c r="F17" s="32"/>
      <c r="H17" s="38" t="s">
        <v>3</v>
      </c>
      <c r="I17" s="39"/>
      <c r="J17" s="39"/>
      <c r="K17" s="39"/>
      <c r="L17" s="39"/>
      <c r="M17" s="13" t="s">
        <v>44</v>
      </c>
      <c r="P17" s="49"/>
      <c r="Q17" s="42"/>
      <c r="R17" s="42"/>
      <c r="T17" s="3"/>
      <c r="U17" s="4"/>
      <c r="V17" s="4"/>
      <c r="W17" s="5"/>
    </row>
    <row r="18" spans="2:23" ht="16.5" thickBot="1" x14ac:dyDescent="0.3">
      <c r="B18" s="8" t="s">
        <v>38</v>
      </c>
      <c r="C18" s="12">
        <f>C12</f>
        <v>12</v>
      </c>
      <c r="D18" s="12">
        <f t="shared" ref="D18:F18" si="1">D12</f>
        <v>12</v>
      </c>
      <c r="E18" s="12">
        <f>E12</f>
        <v>12</v>
      </c>
      <c r="F18" s="12">
        <f t="shared" si="1"/>
        <v>12</v>
      </c>
      <c r="H18" s="1" t="s">
        <v>36</v>
      </c>
      <c r="I18" s="1">
        <f>C18/39.37</f>
        <v>0.30480060960121924</v>
      </c>
      <c r="J18" s="1">
        <f>D18/39.37</f>
        <v>0.30480060960121924</v>
      </c>
      <c r="K18" s="1">
        <f>E18/39.37</f>
        <v>0.30480060960121924</v>
      </c>
      <c r="L18" s="1">
        <f>F18/39.37</f>
        <v>0.30480060960121924</v>
      </c>
      <c r="M18" s="13" t="s">
        <v>45</v>
      </c>
      <c r="P18" s="49"/>
      <c r="Q18" s="42"/>
      <c r="R18" s="42"/>
      <c r="T18" s="50" t="s">
        <v>31</v>
      </c>
      <c r="U18" s="50"/>
      <c r="V18" s="50"/>
      <c r="W18" s="50"/>
    </row>
    <row r="19" spans="2:23" ht="16.5" thickBot="1" x14ac:dyDescent="0.3">
      <c r="B19" s="42" t="s">
        <v>39</v>
      </c>
      <c r="C19" s="45">
        <f>IF(I19&lt;I20,I19,I20)*39.3701</f>
        <v>10.514244595132075</v>
      </c>
      <c r="D19" s="45">
        <f t="shared" ref="D19:F19" si="2">IF(J19&lt;J20,J19,J20)*39.3701</f>
        <v>10.727660152515011</v>
      </c>
      <c r="E19" s="45">
        <f t="shared" si="2"/>
        <v>10.514244595132075</v>
      </c>
      <c r="F19" s="45">
        <f t="shared" si="2"/>
        <v>10.727660152515011</v>
      </c>
      <c r="G19" s="53" t="s">
        <v>46</v>
      </c>
      <c r="H19" s="37" t="s">
        <v>37</v>
      </c>
      <c r="I19" s="1">
        <f>I18*(I34*I14-0.6*(1.25*I13))/(I34*I14+0.4*(1.25*I13))</f>
        <v>0.26706166850305368</v>
      </c>
      <c r="J19" s="1">
        <f>J18*(J34*J14-0.6*(1.25*J13))/(J34*J14+0.4*(1.25*J13))</f>
        <v>0.27248242073337409</v>
      </c>
      <c r="K19" s="1">
        <f>K18*(K34*K14-0.6*(1.25*K13))/(K34*K14+0.4*(1.25*K13))</f>
        <v>0.26706166850305368</v>
      </c>
      <c r="L19" s="1">
        <f>L18*(L34*L14-0.6*(1.25*L13))/(L34*L14+0.4*(1.25*L13))</f>
        <v>0.27248242073337409</v>
      </c>
      <c r="M19" s="13" t="s">
        <v>92</v>
      </c>
    </row>
    <row r="20" spans="2:23" x14ac:dyDescent="0.25">
      <c r="B20" s="42"/>
      <c r="C20" s="45"/>
      <c r="D20" s="45"/>
      <c r="E20" s="45"/>
      <c r="F20" s="45"/>
      <c r="G20" s="53"/>
      <c r="H20" s="37"/>
      <c r="I20" s="1">
        <f>I18*(2*I34*I14+0.4*(1.25*I13))/(2*I34*I14+1.4*(1.25*I13))</f>
        <v>0.28660693496003298</v>
      </c>
      <c r="J20" s="1">
        <f>J18*(2*J34*J14+0.4*(1.25*J13))/(2*J34*J14+1.4*(1.25*J13))</f>
        <v>0.28913967656440731</v>
      </c>
      <c r="K20" s="1">
        <f>K18*(2*K34*K14+0.4*(1.25*K13))/(2*K34*K14+1.4*(1.25*K13))</f>
        <v>0.28660693496003298</v>
      </c>
      <c r="L20" s="1">
        <f>L18*(2*L34*L14+0.4*(1.25*L13))/(2*L34*L14+1.4*(1.25*L13))</f>
        <v>0.28913967656440731</v>
      </c>
      <c r="P20" s="54" t="s">
        <v>23</v>
      </c>
      <c r="Q20" s="54"/>
      <c r="R20" s="55"/>
    </row>
    <row r="21" spans="2:23" x14ac:dyDescent="0.25">
      <c r="B21" s="8" t="s">
        <v>43</v>
      </c>
      <c r="C21" s="29">
        <f>(C18-C19)/2</f>
        <v>0.74287770243396256</v>
      </c>
      <c r="D21" s="29">
        <f t="shared" ref="D21:F21" si="3">(D18-D19)/2</f>
        <v>0.6361699237424947</v>
      </c>
      <c r="E21" s="29">
        <f t="shared" si="3"/>
        <v>0.74287770243396256</v>
      </c>
      <c r="F21" s="29">
        <f t="shared" si="3"/>
        <v>0.6361699237424947</v>
      </c>
      <c r="G21" s="20" t="s">
        <v>54</v>
      </c>
      <c r="H21" s="1" t="s">
        <v>14</v>
      </c>
      <c r="I21" s="1">
        <f>C21*0.0254</f>
        <v>1.8869093641822647E-2</v>
      </c>
      <c r="J21" s="1">
        <f>D21*0.0254</f>
        <v>1.6158716063059363E-2</v>
      </c>
      <c r="K21" s="1">
        <f>E21*0.0254</f>
        <v>1.8869093641822647E-2</v>
      </c>
      <c r="L21" s="1">
        <f>F21*0.0254</f>
        <v>1.6158716063059363E-2</v>
      </c>
      <c r="P21" s="46" t="s">
        <v>24</v>
      </c>
      <c r="Q21" s="42"/>
      <c r="R21" s="47"/>
    </row>
    <row r="22" spans="2:23" x14ac:dyDescent="0.25">
      <c r="B22" s="8" t="s">
        <v>5</v>
      </c>
      <c r="C22" s="34">
        <v>30</v>
      </c>
      <c r="D22" s="35">
        <f>C22</f>
        <v>30</v>
      </c>
      <c r="E22" s="35">
        <f>C22</f>
        <v>30</v>
      </c>
      <c r="F22" s="35">
        <f>E22</f>
        <v>30</v>
      </c>
      <c r="H22" s="1" t="s">
        <v>5</v>
      </c>
      <c r="I22" s="1">
        <f>C22</f>
        <v>30</v>
      </c>
      <c r="J22" s="1">
        <f>D22</f>
        <v>30</v>
      </c>
      <c r="K22" s="1">
        <f>E22</f>
        <v>30</v>
      </c>
      <c r="L22" s="1">
        <f>F22</f>
        <v>30</v>
      </c>
      <c r="P22" s="46"/>
      <c r="Q22" s="42"/>
      <c r="R22" s="47"/>
    </row>
    <row r="23" spans="2:23" x14ac:dyDescent="0.25">
      <c r="B23" s="8"/>
      <c r="C23" s="36"/>
      <c r="D23" s="36"/>
      <c r="E23" s="36"/>
      <c r="F23" s="36"/>
      <c r="H23" s="1"/>
      <c r="I23" s="1"/>
      <c r="J23" s="1"/>
      <c r="K23" s="1"/>
      <c r="L23" s="1"/>
      <c r="P23" s="48" t="s">
        <v>25</v>
      </c>
      <c r="Q23" s="42"/>
      <c r="R23" s="47"/>
    </row>
    <row r="24" spans="2:23" x14ac:dyDescent="0.25">
      <c r="B24" s="8" t="s">
        <v>8</v>
      </c>
      <c r="C24" s="29">
        <f>C11*C22</f>
        <v>100.95</v>
      </c>
      <c r="D24" s="29">
        <f>D11*D22</f>
        <v>201.93</v>
      </c>
      <c r="E24" s="29">
        <f>E11*E22</f>
        <v>100.95</v>
      </c>
      <c r="F24" s="29">
        <f>F11*F22</f>
        <v>201.93</v>
      </c>
      <c r="H24" s="1" t="s">
        <v>8</v>
      </c>
      <c r="I24" s="1">
        <f>I11*I22</f>
        <v>100.95</v>
      </c>
      <c r="J24" s="1">
        <f>J11*J22</f>
        <v>201.93</v>
      </c>
      <c r="K24" s="1">
        <f>K11*K22</f>
        <v>100.95</v>
      </c>
      <c r="L24" s="1">
        <f>L11*L22</f>
        <v>201.93</v>
      </c>
      <c r="P24" s="48"/>
      <c r="Q24" s="42"/>
      <c r="R24" s="47"/>
    </row>
    <row r="25" spans="2:23" ht="31.5" x14ac:dyDescent="0.25">
      <c r="B25" s="8" t="s">
        <v>72</v>
      </c>
      <c r="C25" s="34">
        <v>6</v>
      </c>
      <c r="D25" s="34">
        <v>6</v>
      </c>
      <c r="E25" s="35">
        <f>C25</f>
        <v>6</v>
      </c>
      <c r="F25" s="35">
        <f>D25</f>
        <v>6</v>
      </c>
      <c r="G25" s="20" t="s">
        <v>74</v>
      </c>
      <c r="H25" s="1" t="s">
        <v>72</v>
      </c>
      <c r="I25" s="1">
        <f>C25</f>
        <v>6</v>
      </c>
      <c r="J25" s="1">
        <f>D25</f>
        <v>6</v>
      </c>
      <c r="K25" s="1">
        <f>E25</f>
        <v>6</v>
      </c>
      <c r="L25" s="1">
        <f>F25</f>
        <v>6</v>
      </c>
      <c r="P25" s="49" t="s">
        <v>13</v>
      </c>
      <c r="Q25" s="42"/>
      <c r="R25" s="47"/>
    </row>
    <row r="26" spans="2:23" ht="16.5" thickBot="1" x14ac:dyDescent="0.3">
      <c r="B26" s="8" t="s">
        <v>9</v>
      </c>
      <c r="C26" s="29">
        <f>C24/C10</f>
        <v>0.13110389610389611</v>
      </c>
      <c r="D26" s="29">
        <f>D24/D10</f>
        <v>0.17697633654688871</v>
      </c>
      <c r="E26" s="29">
        <f>E24/E10</f>
        <v>0.13110389610389611</v>
      </c>
      <c r="F26" s="29">
        <f>F24/F10</f>
        <v>0.17697633654688871</v>
      </c>
      <c r="H26" s="1" t="s">
        <v>9</v>
      </c>
      <c r="I26" s="1">
        <f>I24/I10</f>
        <v>0.13110389610389611</v>
      </c>
      <c r="J26" s="1">
        <f>J24/J10</f>
        <v>0.17697633654688871</v>
      </c>
      <c r="K26" s="1">
        <f>K24/K10</f>
        <v>0.13110389610389611</v>
      </c>
      <c r="L26" s="1">
        <f>L24/L10</f>
        <v>0.17697633654688871</v>
      </c>
      <c r="P26" s="50"/>
      <c r="Q26" s="51"/>
      <c r="R26" s="52"/>
    </row>
    <row r="27" spans="2:23" x14ac:dyDescent="0.25">
      <c r="B27" s="8" t="s">
        <v>73</v>
      </c>
      <c r="C27" s="29">
        <f>C26*(1+(C25/100))</f>
        <v>0.13897012987012988</v>
      </c>
      <c r="D27" s="29">
        <f>D24/D10</f>
        <v>0.17697633654688871</v>
      </c>
      <c r="E27" s="29">
        <f>E26*(1+(E25/100))</f>
        <v>0.13897012987012988</v>
      </c>
      <c r="F27" s="29">
        <f>F24/F10</f>
        <v>0.17697633654688871</v>
      </c>
      <c r="H27" s="1" t="s">
        <v>73</v>
      </c>
      <c r="I27" s="1">
        <f>I26*(1+(I25/100))</f>
        <v>0.13897012987012988</v>
      </c>
      <c r="J27" s="1">
        <f>J26*(1+(J25/100))</f>
        <v>0.18759491673970205</v>
      </c>
      <c r="K27" s="1">
        <f>K26*(1+(K25/100))</f>
        <v>0.13897012987012988</v>
      </c>
      <c r="L27" s="1">
        <f>L26*(1+(L25/100))</f>
        <v>0.18759491673970205</v>
      </c>
    </row>
    <row r="28" spans="2:23" x14ac:dyDescent="0.25">
      <c r="B28" s="8" t="s">
        <v>64</v>
      </c>
      <c r="C28" s="29">
        <f>I28</f>
        <v>0.132560731810036</v>
      </c>
      <c r="D28" s="29">
        <f>J28</f>
        <v>0.18081731810352414</v>
      </c>
      <c r="E28" s="29">
        <f>K28</f>
        <v>0.132560731810036</v>
      </c>
      <c r="F28" s="29">
        <f>L28</f>
        <v>0.18081731810352414</v>
      </c>
      <c r="H28" s="1" t="s">
        <v>64</v>
      </c>
      <c r="I28" s="1">
        <f>I27-2*I39</f>
        <v>0.132560731810036</v>
      </c>
      <c r="J28" s="1">
        <f>J27-2*J39</f>
        <v>0.18081731810352414</v>
      </c>
      <c r="K28" s="1">
        <f>K27-2*K39</f>
        <v>0.132560731810036</v>
      </c>
      <c r="L28" s="1">
        <f>L27-2*L39</f>
        <v>0.18081731810352414</v>
      </c>
    </row>
    <row r="29" spans="2:23" x14ac:dyDescent="0.25">
      <c r="B29" s="8" t="s">
        <v>40</v>
      </c>
      <c r="C29" s="29">
        <f>I29*39.37</f>
        <v>93.168115341722086</v>
      </c>
      <c r="D29" s="29">
        <f>J29*39.37</f>
        <v>122.078329848309</v>
      </c>
      <c r="E29" s="29">
        <f>K29*39.37</f>
        <v>93.168115341722086</v>
      </c>
      <c r="F29" s="29">
        <f>L29*39.37</f>
        <v>122.078329848309</v>
      </c>
      <c r="H29" s="1" t="s">
        <v>10</v>
      </c>
      <c r="I29" s="1">
        <f>I28/(PI()*(((I19))^2)/4)</f>
        <v>2.3664748626294663</v>
      </c>
      <c r="J29" s="1">
        <f>J28/(PI()*(((J19))^2)/4)</f>
        <v>3.1007957797386081</v>
      </c>
      <c r="K29" s="1">
        <f>K28/(PI()*(((K19))^2)/4)</f>
        <v>2.3664748626294663</v>
      </c>
      <c r="L29" s="1">
        <f>L28/(PI()*(((L19))^2)/4)</f>
        <v>3.1007957797386081</v>
      </c>
    </row>
    <row r="30" spans="2:23" x14ac:dyDescent="0.25">
      <c r="B30" s="8"/>
      <c r="C30" s="36"/>
      <c r="D30" s="36"/>
      <c r="E30" s="36"/>
      <c r="F30" s="36"/>
      <c r="H30" s="1"/>
      <c r="I30" s="1"/>
      <c r="J30" s="1"/>
      <c r="K30" s="1"/>
      <c r="L30" s="1"/>
    </row>
    <row r="31" spans="2:23" x14ac:dyDescent="0.25">
      <c r="B31" s="8" t="s">
        <v>17</v>
      </c>
      <c r="C31" s="29">
        <f>((I13*I19/2)/I21)/1000000</f>
        <v>48.792118595640524</v>
      </c>
      <c r="D31" s="29">
        <f>((J13*J19/2)/J21)/1000000</f>
        <v>49.412829418730098</v>
      </c>
      <c r="E31" s="29">
        <f>((K13*K19/2)/K21)/1000000</f>
        <v>48.792118595640524</v>
      </c>
      <c r="F31" s="29">
        <f>((L13*L19/2)/L21)/1000000</f>
        <v>49.412829418730098</v>
      </c>
      <c r="H31" s="1" t="s">
        <v>33</v>
      </c>
      <c r="I31" s="1">
        <f>C31/0.000001</f>
        <v>48792118.595640525</v>
      </c>
      <c r="J31" s="1">
        <f>D31/0.000001</f>
        <v>49412829.418730102</v>
      </c>
      <c r="K31" s="1">
        <f>E31/0.000001</f>
        <v>48792118.595640525</v>
      </c>
      <c r="L31" s="1">
        <f>F31/0.000001</f>
        <v>49412829.418730102</v>
      </c>
    </row>
    <row r="32" spans="2:23" x14ac:dyDescent="0.25">
      <c r="B32" s="8" t="s">
        <v>18</v>
      </c>
      <c r="C32" s="29">
        <f>I32/(1000000)</f>
        <v>24.396059297820262</v>
      </c>
      <c r="D32" s="29">
        <f>J32/(1000000)</f>
        <v>24.706414709365049</v>
      </c>
      <c r="E32" s="29">
        <f>K32/(1000000)</f>
        <v>24.396059297820262</v>
      </c>
      <c r="F32" s="29">
        <f>L32/(1000000)</f>
        <v>24.706414709365049</v>
      </c>
      <c r="H32" s="1" t="s">
        <v>34</v>
      </c>
      <c r="I32" s="1">
        <f>I13*IF(I19&lt;I20,I19,I20)/(4*I21)</f>
        <v>24396059.297820263</v>
      </c>
      <c r="J32" s="1">
        <f>J13*IF(J19&lt;J20,J19,J20)/(4*J21)</f>
        <v>24706414.709365048</v>
      </c>
      <c r="K32" s="1">
        <f>K13*IF(K19&lt;K20,K19,K20)/(4*K21)</f>
        <v>24396059.297820263</v>
      </c>
      <c r="L32" s="1">
        <f>L13*IF(L19&lt;L20,L19,L20)/(4*L21)</f>
        <v>24706414.709365048</v>
      </c>
    </row>
    <row r="33" spans="2:14" x14ac:dyDescent="0.25">
      <c r="B33" s="8"/>
      <c r="C33" s="36"/>
      <c r="D33" s="36"/>
      <c r="E33" s="36"/>
      <c r="F33" s="36"/>
      <c r="H33" s="1"/>
      <c r="I33" s="1"/>
      <c r="J33" s="1"/>
      <c r="K33" s="1"/>
      <c r="L33" s="1"/>
    </row>
    <row r="34" spans="2:14" ht="31.5" x14ac:dyDescent="0.25">
      <c r="B34" s="19" t="s">
        <v>56</v>
      </c>
      <c r="C34" s="34">
        <v>82.7</v>
      </c>
      <c r="D34" s="35">
        <f>C34</f>
        <v>82.7</v>
      </c>
      <c r="E34" s="35">
        <f>C34</f>
        <v>82.7</v>
      </c>
      <c r="F34" s="35">
        <f>C34</f>
        <v>82.7</v>
      </c>
      <c r="G34" s="20" t="s">
        <v>79</v>
      </c>
      <c r="H34" s="6" t="s">
        <v>42</v>
      </c>
      <c r="I34" s="1">
        <f>C34/0.000001</f>
        <v>82700000</v>
      </c>
      <c r="J34" s="1">
        <f>D34/0.000001</f>
        <v>82700000</v>
      </c>
      <c r="K34" s="1">
        <f>E34/0.000001</f>
        <v>82700000</v>
      </c>
      <c r="L34" s="1">
        <f>F34/0.000001</f>
        <v>82700000</v>
      </c>
    </row>
    <row r="35" spans="2:14" x14ac:dyDescent="0.25">
      <c r="B35" s="33"/>
      <c r="C35" s="38" t="s">
        <v>68</v>
      </c>
      <c r="D35" s="40"/>
      <c r="E35" s="38" t="s">
        <v>91</v>
      </c>
      <c r="F35" s="40"/>
      <c r="H35" s="33"/>
      <c r="I35" s="38" t="s">
        <v>68</v>
      </c>
      <c r="J35" s="40"/>
      <c r="K35" s="38" t="s">
        <v>91</v>
      </c>
      <c r="L35" s="40"/>
    </row>
    <row r="36" spans="2:14" x14ac:dyDescent="0.25">
      <c r="B36" s="8" t="s">
        <v>41</v>
      </c>
      <c r="C36" s="29">
        <f>I36*39.37</f>
        <v>0.55363088992629617</v>
      </c>
      <c r="D36" s="29">
        <f t="shared" ref="D36:E36" si="4">J36*39.37</f>
        <v>0.47938084038637963</v>
      </c>
      <c r="E36" s="29">
        <f t="shared" si="4"/>
        <v>1.1184017894831573</v>
      </c>
      <c r="F36" s="29">
        <f>L36*39.37</f>
        <v>0.94914219573556424</v>
      </c>
      <c r="G36" s="20" t="s">
        <v>55</v>
      </c>
      <c r="H36" s="1" t="s">
        <v>35</v>
      </c>
      <c r="I36" s="1">
        <f>((I13*I19)/(2*I34*I14 - 0.2*I13))</f>
        <v>1.406225272863338E-2</v>
      </c>
      <c r="J36" s="1">
        <f>((J13*J19)/(2*J34*D14 - 0.2*J13))</f>
        <v>1.2176297698409441E-2</v>
      </c>
      <c r="K36" s="1">
        <f>((0.885*K13*K18)/(K34*K14 - 0.1*K13))</f>
        <v>2.8407462267796734E-2</v>
      </c>
      <c r="L36" s="1">
        <f>((0.885*L13*L18)/(L34*L14 - 0.1*L13))</f>
        <v>2.4108259988203311E-2</v>
      </c>
    </row>
    <row r="37" spans="2:14" x14ac:dyDescent="0.25">
      <c r="B37" s="8" t="s">
        <v>57</v>
      </c>
      <c r="C37" s="34">
        <v>0.5</v>
      </c>
      <c r="D37" s="34">
        <v>0.5</v>
      </c>
      <c r="E37" s="35">
        <f>C37</f>
        <v>0.5</v>
      </c>
      <c r="F37" s="35">
        <f>C37</f>
        <v>0.5</v>
      </c>
      <c r="H37" s="1" t="s">
        <v>60</v>
      </c>
      <c r="I37" s="1">
        <f>C37/39.37</f>
        <v>1.2700025400050802E-2</v>
      </c>
      <c r="J37" s="1">
        <f>D37/39.37</f>
        <v>1.2700025400050802E-2</v>
      </c>
      <c r="K37" s="1">
        <f>E37/39.37</f>
        <v>1.2700025400050802E-2</v>
      </c>
      <c r="L37" s="1">
        <f>F37/39.37</f>
        <v>1.2700025400050802E-2</v>
      </c>
      <c r="M37" s="13" t="s">
        <v>75</v>
      </c>
      <c r="N37" s="13">
        <f>E36/E38</f>
        <v>0.52887985056198195</v>
      </c>
    </row>
    <row r="38" spans="2:14" x14ac:dyDescent="0.25">
      <c r="B38" s="8" t="s">
        <v>58</v>
      </c>
      <c r="C38" s="29">
        <f t="shared" ref="C38:D38" si="5">I38*39.37</f>
        <v>2.6285544722413059</v>
      </c>
      <c r="D38" s="29">
        <f t="shared" si="5"/>
        <v>2.6819082260682343</v>
      </c>
      <c r="E38" s="29">
        <f>K38*39.37</f>
        <v>2.114661370242704</v>
      </c>
      <c r="F38" s="29">
        <f t="shared" ref="F38" si="6">L38*39.37</f>
        <v>2.1710790423506725</v>
      </c>
      <c r="G38" s="20" t="s">
        <v>63</v>
      </c>
      <c r="H38" s="1" t="s">
        <v>61</v>
      </c>
      <c r="I38" s="1">
        <f>I19/4</f>
        <v>6.6765417125763421E-2</v>
      </c>
      <c r="J38" s="1">
        <f>J19/4</f>
        <v>6.8120605183343522E-2</v>
      </c>
      <c r="K38" s="1">
        <f>(K18-SQRT((K18-0.06*K19)^2-((K19/2)-0.06*K19)^2))+K37</f>
        <v>5.3712506229177143E-2</v>
      </c>
      <c r="L38" s="1">
        <f>(L18-SQRT((L18-0.06*L19)^2-((L19/2)-0.06*L19)^2))+L37</f>
        <v>5.5145517966743024E-2</v>
      </c>
      <c r="M38" s="13" t="s">
        <v>76</v>
      </c>
    </row>
    <row r="39" spans="2:14" x14ac:dyDescent="0.25">
      <c r="B39" s="42" t="s">
        <v>59</v>
      </c>
      <c r="C39" s="43">
        <f>I39</f>
        <v>3.2046990300469416E-3</v>
      </c>
      <c r="D39" s="44">
        <f>J39</f>
        <v>3.3887993180889498E-3</v>
      </c>
      <c r="E39" s="45">
        <f>K39</f>
        <v>3.2046990300469416E-3</v>
      </c>
      <c r="F39" s="45">
        <f>L39</f>
        <v>3.3887993180889498E-3</v>
      </c>
      <c r="G39" s="20" t="s">
        <v>75</v>
      </c>
      <c r="H39" s="37" t="s">
        <v>62</v>
      </c>
      <c r="I39" s="37">
        <f>(PI()*I19^3)/24+((PI()*(I19^2))/4)*I37</f>
        <v>3.2046990300469416E-3</v>
      </c>
      <c r="J39" s="37">
        <f>(PI()*J19^3)/24+((PI()*(J19^2))/4)*J37</f>
        <v>3.3887993180889498E-3</v>
      </c>
      <c r="K39" s="37">
        <f>(PI()*K19^3)/24+((PI()*(K19^2))/4)*K37</f>
        <v>3.2046990300469416E-3</v>
      </c>
      <c r="L39" s="37">
        <f>(PI()*L19^3)/24+((PI()*(L19^2))/4)*L37</f>
        <v>3.3887993180889498E-3</v>
      </c>
    </row>
    <row r="40" spans="2:14" x14ac:dyDescent="0.25">
      <c r="B40" s="42"/>
      <c r="C40" s="43"/>
      <c r="D40" s="44"/>
      <c r="E40" s="45"/>
      <c r="F40" s="45"/>
      <c r="G40" s="20" t="s">
        <v>76</v>
      </c>
      <c r="H40" s="37"/>
      <c r="I40" s="37"/>
      <c r="J40" s="37"/>
      <c r="K40" s="37"/>
      <c r="L40" s="37"/>
    </row>
    <row r="41" spans="2:14" x14ac:dyDescent="0.25">
      <c r="B41" s="41" t="s">
        <v>71</v>
      </c>
      <c r="C41" s="41"/>
      <c r="D41" s="41"/>
      <c r="E41" s="32"/>
      <c r="F41" s="32"/>
      <c r="H41" s="38" t="s">
        <v>71</v>
      </c>
      <c r="I41" s="39"/>
      <c r="J41" s="39"/>
      <c r="K41" s="39"/>
      <c r="L41" s="39"/>
    </row>
    <row r="42" spans="2:14" ht="47.25" x14ac:dyDescent="0.25">
      <c r="B42" s="19" t="s">
        <v>52</v>
      </c>
      <c r="C42" s="29">
        <f>I42/6894.76</f>
        <v>1249.9769834091826</v>
      </c>
      <c r="D42" s="29">
        <f t="shared" ref="D42:F43" si="7">J42/6894.76</f>
        <v>1062.4767740037821</v>
      </c>
      <c r="E42" s="29">
        <f t="shared" si="7"/>
        <v>1249.9769834091826</v>
      </c>
      <c r="F42" s="29">
        <f t="shared" si="7"/>
        <v>1062.4767740037821</v>
      </c>
      <c r="G42" s="20" t="s">
        <v>54</v>
      </c>
      <c r="H42" s="6" t="s">
        <v>65</v>
      </c>
      <c r="I42" s="1">
        <f>(I34*I14*I21)/((I19/2)+(0.6*I21))</f>
        <v>8618291.3061302956</v>
      </c>
      <c r="J42" s="1">
        <f>(J34*J14*J21)/((J19/2)+(0.6*J21))</f>
        <v>7325522.3623303175</v>
      </c>
      <c r="K42" s="1">
        <f>(K34*K14*K21)/((K19/2)+(0.6*K21))</f>
        <v>8618291.3061302956</v>
      </c>
      <c r="L42" s="1">
        <f>(L34*L14*L21)/((L19/2)+(0.6*L21))</f>
        <v>7325522.3623303175</v>
      </c>
    </row>
    <row r="43" spans="2:14" ht="47.25" x14ac:dyDescent="0.25">
      <c r="B43" s="19" t="s">
        <v>51</v>
      </c>
      <c r="C43" s="29">
        <f>I43/6894.76</f>
        <v>2874.3837852407023</v>
      </c>
      <c r="D43" s="29">
        <f t="shared" si="7"/>
        <v>2389.5330150117202</v>
      </c>
      <c r="E43" s="29">
        <f t="shared" si="7"/>
        <v>2874.3837852407023</v>
      </c>
      <c r="F43" s="29">
        <f t="shared" si="7"/>
        <v>2389.5330150117202</v>
      </c>
      <c r="G43" s="20" t="s">
        <v>54</v>
      </c>
      <c r="H43" s="6" t="s">
        <v>66</v>
      </c>
      <c r="I43" s="1">
        <f>(2*I34*I14*I21)/((I19/2)-(0.4*I21))</f>
        <v>19818186.347126186</v>
      </c>
      <c r="J43" s="1">
        <f>(2*J34*J14*J21)/((J19/2)-(0.4*J21))</f>
        <v>16475256.650582207</v>
      </c>
      <c r="K43" s="1">
        <f>(2*K34*K14*K21)/((K19/2)-(0.4*K21))</f>
        <v>19818186.347126186</v>
      </c>
      <c r="L43" s="1">
        <f>(2*L34*L14*L21)/((L19/2)-(0.4*L21))</f>
        <v>16475256.650582207</v>
      </c>
    </row>
    <row r="44" spans="2:14" ht="47.25" x14ac:dyDescent="0.25">
      <c r="B44" s="8" t="s">
        <v>53</v>
      </c>
      <c r="C44" s="29">
        <f>IF(C42&lt;C43,C42,C43)*1.5</f>
        <v>1874.9654751137739</v>
      </c>
      <c r="D44" s="29">
        <f t="shared" ref="D44:F44" si="8">IF(D42&lt;D43,D42,D43)*1.5</f>
        <v>1593.7151610056731</v>
      </c>
      <c r="E44" s="29">
        <f>IF(E42&lt;E43,E42,E43)*1.5</f>
        <v>1874.9654751137739</v>
      </c>
      <c r="F44" s="29">
        <f t="shared" si="8"/>
        <v>1593.7151610056731</v>
      </c>
      <c r="G44" s="20" t="s">
        <v>85</v>
      </c>
      <c r="H44" s="1" t="s">
        <v>67</v>
      </c>
      <c r="I44" s="1">
        <f>IF(I42&lt;I43,I42,I43)*1.3</f>
        <v>11203778.697969384</v>
      </c>
      <c r="J44" s="1">
        <f>IF(J42&lt;J43,J42,J43)*1.3</f>
        <v>9523179.0710294135</v>
      </c>
      <c r="K44" s="1">
        <f>IF(K42&lt;K43,K42,K43)*1.3</f>
        <v>11203778.697969384</v>
      </c>
      <c r="L44" s="1">
        <f>IF(L42&lt;L43,L42,L43)*1.3</f>
        <v>9523179.0710294135</v>
      </c>
    </row>
    <row r="45" spans="2:14" x14ac:dyDescent="0.25">
      <c r="B45" s="8" t="s">
        <v>86</v>
      </c>
      <c r="C45" s="29">
        <f>IF(C42&lt;C43,C42,C43)*1.25</f>
        <v>1562.4712292614781</v>
      </c>
      <c r="D45" s="29">
        <f t="shared" ref="D45:F45" si="9">IF(D42&lt;D43,D42,D43)*1.25</f>
        <v>1328.0959675047277</v>
      </c>
      <c r="E45" s="29">
        <f>IF(E42&lt;E43,E42,E43)*1.25</f>
        <v>1562.4712292614781</v>
      </c>
      <c r="F45" s="29">
        <f t="shared" si="9"/>
        <v>1328.0959675047277</v>
      </c>
      <c r="G45" s="20" t="s">
        <v>87</v>
      </c>
      <c r="H45" s="1" t="s">
        <v>88</v>
      </c>
      <c r="I45" s="1">
        <f>IF(I42&lt;I43,I42,I43)*1.25</f>
        <v>10772864.13266287</v>
      </c>
      <c r="J45" s="1">
        <f t="shared" ref="J45:L45" si="10">IF(J42&lt;J43,J42,J43)*1.25</f>
        <v>9156902.9529128969</v>
      </c>
      <c r="K45" s="1">
        <f>IF(K42&lt;K43,K42,K43)*1.25</f>
        <v>10772864.13266287</v>
      </c>
      <c r="L45" s="1">
        <f t="shared" si="10"/>
        <v>9156902.9529128969</v>
      </c>
    </row>
    <row r="50" spans="18:19" x14ac:dyDescent="0.25">
      <c r="R50" s="13" t="s">
        <v>47</v>
      </c>
    </row>
    <row r="52" spans="18:19" x14ac:dyDescent="0.25">
      <c r="R52" s="13" t="s">
        <v>48</v>
      </c>
      <c r="S52" s="13" t="s">
        <v>49</v>
      </c>
    </row>
  </sheetData>
  <mergeCells count="58">
    <mergeCell ref="P13:R13"/>
    <mergeCell ref="U13:W13"/>
    <mergeCell ref="I3:I5"/>
    <mergeCell ref="B7:D7"/>
    <mergeCell ref="H7:J7"/>
    <mergeCell ref="B9:D9"/>
    <mergeCell ref="H9:L9"/>
    <mergeCell ref="B2:G5"/>
    <mergeCell ref="B14:B16"/>
    <mergeCell ref="C14:C16"/>
    <mergeCell ref="D14:D16"/>
    <mergeCell ref="E14:E16"/>
    <mergeCell ref="H14:H16"/>
    <mergeCell ref="F14:F16"/>
    <mergeCell ref="P14:P15"/>
    <mergeCell ref="Q14:R15"/>
    <mergeCell ref="T14:W14"/>
    <mergeCell ref="T15:W15"/>
    <mergeCell ref="P16:P18"/>
    <mergeCell ref="Q16:R18"/>
    <mergeCell ref="T16:W16"/>
    <mergeCell ref="T18:W18"/>
    <mergeCell ref="P21:P22"/>
    <mergeCell ref="Q21:R22"/>
    <mergeCell ref="B17:D17"/>
    <mergeCell ref="C35:D35"/>
    <mergeCell ref="P23:P24"/>
    <mergeCell ref="Q23:R24"/>
    <mergeCell ref="P25:P26"/>
    <mergeCell ref="Q25:R26"/>
    <mergeCell ref="F19:F20"/>
    <mergeCell ref="E35:F35"/>
    <mergeCell ref="G19:G20"/>
    <mergeCell ref="B19:B20"/>
    <mergeCell ref="C19:C20"/>
    <mergeCell ref="D19:D20"/>
    <mergeCell ref="E19:E20"/>
    <mergeCell ref="P20:R20"/>
    <mergeCell ref="B41:D41"/>
    <mergeCell ref="B39:B40"/>
    <mergeCell ref="C39:C40"/>
    <mergeCell ref="D39:D40"/>
    <mergeCell ref="H39:H40"/>
    <mergeCell ref="E39:E40"/>
    <mergeCell ref="F39:F40"/>
    <mergeCell ref="I39:I40"/>
    <mergeCell ref="J39:J40"/>
    <mergeCell ref="H41:L41"/>
    <mergeCell ref="K35:L35"/>
    <mergeCell ref="K14:K16"/>
    <mergeCell ref="L14:L16"/>
    <mergeCell ref="K39:K40"/>
    <mergeCell ref="L39:L40"/>
    <mergeCell ref="I35:J35"/>
    <mergeCell ref="H19:H20"/>
    <mergeCell ref="I14:I16"/>
    <mergeCell ref="J14:J16"/>
    <mergeCell ref="H17:L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4252F-71AD-6E4F-9B2D-A38D229EA84D}">
  <dimension ref="A1:V53"/>
  <sheetViews>
    <sheetView topLeftCell="A6" workbookViewId="0">
      <selection activeCell="H28" sqref="H28"/>
    </sheetView>
  </sheetViews>
  <sheetFormatPr defaultColWidth="10.875" defaultRowHeight="15.75" x14ac:dyDescent="0.25"/>
  <cols>
    <col min="1" max="1" width="34.125" style="13" customWidth="1"/>
    <col min="2" max="3" width="12.5" style="13" customWidth="1"/>
    <col min="4" max="4" width="12.625" style="13" customWidth="1"/>
    <col min="5" max="5" width="11.625" style="13" customWidth="1"/>
    <col min="6" max="6" width="42" style="13" customWidth="1"/>
    <col min="7" max="7" width="32.125" style="13" customWidth="1"/>
    <col min="8" max="8" width="10.875" style="13"/>
    <col min="9" max="9" width="12.625" style="13" customWidth="1"/>
    <col min="10" max="10" width="18.5" style="13" customWidth="1"/>
    <col min="11" max="11" width="11.125" style="13" customWidth="1"/>
    <col min="12" max="12" width="10.5" style="13" customWidth="1"/>
    <col min="13" max="13" width="21.875" style="13" customWidth="1"/>
    <col min="14" max="14" width="19.125" style="13" customWidth="1"/>
    <col min="15" max="21" width="10.875" style="13"/>
    <col min="22" max="22" width="17.875" style="13" customWidth="1"/>
    <col min="23" max="16384" width="10.875" style="13"/>
  </cols>
  <sheetData>
    <row r="1" spans="1:22" ht="16.5" thickBot="1" x14ac:dyDescent="0.3"/>
    <row r="2" spans="1:22" ht="16.5" thickBot="1" x14ac:dyDescent="0.3">
      <c r="E2" s="14" t="s">
        <v>19</v>
      </c>
      <c r="F2" s="15" t="s">
        <v>3</v>
      </c>
    </row>
    <row r="3" spans="1:22" x14ac:dyDescent="0.25">
      <c r="E3" s="54" t="s">
        <v>90</v>
      </c>
      <c r="F3" s="16" t="s">
        <v>89</v>
      </c>
    </row>
    <row r="4" spans="1:22" x14ac:dyDescent="0.25">
      <c r="E4" s="60"/>
      <c r="F4" s="17" t="s">
        <v>20</v>
      </c>
    </row>
    <row r="5" spans="1:22" ht="16.5" thickBot="1" x14ac:dyDescent="0.3">
      <c r="E5" s="61"/>
      <c r="F5" s="18" t="s">
        <v>21</v>
      </c>
    </row>
    <row r="7" spans="1:22" x14ac:dyDescent="0.25">
      <c r="A7" s="41" t="s">
        <v>69</v>
      </c>
      <c r="B7" s="41"/>
      <c r="C7" s="41"/>
      <c r="D7" s="2"/>
      <c r="E7" s="2"/>
      <c r="G7" s="41" t="s">
        <v>16</v>
      </c>
      <c r="H7" s="41"/>
      <c r="I7" s="41"/>
      <c r="J7" s="2"/>
      <c r="K7" s="41" t="s">
        <v>78</v>
      </c>
      <c r="L7" s="41"/>
    </row>
    <row r="8" spans="1:22" ht="31.5" x14ac:dyDescent="0.25">
      <c r="A8" s="2"/>
      <c r="B8" s="2" t="s">
        <v>0</v>
      </c>
      <c r="C8" s="2" t="s">
        <v>1</v>
      </c>
      <c r="D8" s="11" t="s">
        <v>77</v>
      </c>
      <c r="E8" s="11" t="s">
        <v>78</v>
      </c>
      <c r="G8" s="2"/>
      <c r="H8" s="2" t="s">
        <v>0</v>
      </c>
      <c r="I8" s="2" t="s">
        <v>1</v>
      </c>
      <c r="J8" s="2" t="s">
        <v>77</v>
      </c>
      <c r="K8" s="41"/>
      <c r="L8" s="41"/>
    </row>
    <row r="9" spans="1:22" x14ac:dyDescent="0.25">
      <c r="A9" s="41" t="s">
        <v>2</v>
      </c>
      <c r="B9" s="41"/>
      <c r="C9" s="41"/>
      <c r="D9" s="2"/>
      <c r="E9" s="2"/>
      <c r="G9" s="41" t="s">
        <v>2</v>
      </c>
      <c r="H9" s="41"/>
      <c r="I9" s="41"/>
      <c r="J9" s="2"/>
      <c r="K9" s="41"/>
      <c r="L9" s="41"/>
    </row>
    <row r="10" spans="1:22" x14ac:dyDescent="0.25">
      <c r="A10" s="8" t="s">
        <v>6</v>
      </c>
      <c r="B10" s="10">
        <v>770</v>
      </c>
      <c r="C10" s="10">
        <v>1141</v>
      </c>
      <c r="D10" s="12">
        <f>B10</f>
        <v>770</v>
      </c>
      <c r="E10" s="12">
        <f>B10</f>
        <v>770</v>
      </c>
      <c r="G10" s="1" t="s">
        <v>6</v>
      </c>
      <c r="H10" s="1">
        <f t="shared" ref="H10:K11" si="0">B10</f>
        <v>770</v>
      </c>
      <c r="I10" s="1">
        <f t="shared" si="0"/>
        <v>1141</v>
      </c>
      <c r="J10" s="1">
        <f t="shared" si="0"/>
        <v>770</v>
      </c>
      <c r="K10" s="37">
        <f t="shared" si="0"/>
        <v>770</v>
      </c>
      <c r="L10" s="37"/>
    </row>
    <row r="11" spans="1:22" x14ac:dyDescent="0.25">
      <c r="A11" s="8" t="s">
        <v>7</v>
      </c>
      <c r="B11" s="10">
        <v>3.3650000000000002</v>
      </c>
      <c r="C11" s="10">
        <v>6.7309999999999999</v>
      </c>
      <c r="D11" s="12">
        <f t="shared" ref="D11:D13" si="1">B11</f>
        <v>3.3650000000000002</v>
      </c>
      <c r="E11" s="12">
        <f t="shared" ref="E11:E13" si="2">B11</f>
        <v>3.3650000000000002</v>
      </c>
      <c r="G11" s="1" t="s">
        <v>7</v>
      </c>
      <c r="H11" s="1">
        <f t="shared" si="0"/>
        <v>3.3650000000000002</v>
      </c>
      <c r="I11" s="1">
        <f t="shared" si="0"/>
        <v>6.7309999999999999</v>
      </c>
      <c r="J11" s="1">
        <f t="shared" si="0"/>
        <v>3.3650000000000002</v>
      </c>
      <c r="K11" s="37">
        <f t="shared" si="0"/>
        <v>3.3650000000000002</v>
      </c>
      <c r="L11" s="37"/>
    </row>
    <row r="12" spans="1:22" ht="16.5" thickBot="1" x14ac:dyDescent="0.3">
      <c r="A12" s="8" t="s">
        <v>4</v>
      </c>
      <c r="B12" s="10">
        <v>12</v>
      </c>
      <c r="C12" s="12">
        <v>12</v>
      </c>
      <c r="D12" s="12">
        <f t="shared" si="1"/>
        <v>12</v>
      </c>
      <c r="E12" s="10">
        <v>0.75</v>
      </c>
      <c r="G12" s="1" t="s">
        <v>4</v>
      </c>
      <c r="H12" s="1">
        <f>B12*0.0254</f>
        <v>0.30479999999999996</v>
      </c>
      <c r="I12" s="1">
        <f>C12*0.0254</f>
        <v>0.30479999999999996</v>
      </c>
      <c r="J12" s="1">
        <f>D12*0.0254</f>
        <v>0.30479999999999996</v>
      </c>
      <c r="K12" s="37">
        <f>E12*0.0254</f>
        <v>1.9049999999999997E-2</v>
      </c>
      <c r="L12" s="37"/>
    </row>
    <row r="13" spans="1:22" ht="31.5" x14ac:dyDescent="0.25">
      <c r="A13" s="19" t="s">
        <v>22</v>
      </c>
      <c r="B13" s="10">
        <v>1000</v>
      </c>
      <c r="C13" s="10">
        <v>850</v>
      </c>
      <c r="D13" s="12">
        <f t="shared" si="1"/>
        <v>1000</v>
      </c>
      <c r="E13" s="12">
        <f t="shared" si="2"/>
        <v>1000</v>
      </c>
      <c r="G13" s="1" t="s">
        <v>15</v>
      </c>
      <c r="H13" s="1">
        <f>B13*6894.76</f>
        <v>6894760</v>
      </c>
      <c r="I13" s="1">
        <f>C13*6894.76</f>
        <v>5860546</v>
      </c>
      <c r="J13" s="1">
        <f>D13*6894.76</f>
        <v>6894760</v>
      </c>
      <c r="K13" s="37">
        <f>E13*6894.76</f>
        <v>6894760</v>
      </c>
      <c r="L13" s="37"/>
      <c r="O13" s="58" t="s">
        <v>11</v>
      </c>
      <c r="P13" s="58"/>
      <c r="Q13" s="58"/>
      <c r="S13" s="7" t="s">
        <v>26</v>
      </c>
      <c r="T13" s="59" t="s">
        <v>27</v>
      </c>
      <c r="U13" s="59"/>
      <c r="V13" s="59"/>
    </row>
    <row r="14" spans="1:22" x14ac:dyDescent="0.25">
      <c r="A14" s="42" t="s">
        <v>32</v>
      </c>
      <c r="B14" s="56">
        <v>0.6</v>
      </c>
      <c r="C14" s="57">
        <v>0.6</v>
      </c>
      <c r="D14" s="57">
        <f>B14</f>
        <v>0.6</v>
      </c>
      <c r="E14" s="57">
        <f>B14</f>
        <v>0.6</v>
      </c>
      <c r="G14" s="37" t="s">
        <v>32</v>
      </c>
      <c r="H14" s="37">
        <f>B14</f>
        <v>0.6</v>
      </c>
      <c r="I14" s="37">
        <f>C14</f>
        <v>0.6</v>
      </c>
      <c r="J14" s="37">
        <f>D14</f>
        <v>0.6</v>
      </c>
      <c r="K14" s="1" t="s">
        <v>80</v>
      </c>
      <c r="L14" s="1">
        <v>0.4</v>
      </c>
      <c r="O14" s="49" t="s">
        <v>12</v>
      </c>
      <c r="P14" s="42" t="e" vm="1">
        <v>#VALUE!</v>
      </c>
      <c r="Q14" s="42"/>
      <c r="S14" s="49" t="s">
        <v>30</v>
      </c>
      <c r="T14" s="49"/>
      <c r="U14" s="49"/>
      <c r="V14" s="49"/>
    </row>
    <row r="15" spans="1:22" x14ac:dyDescent="0.25">
      <c r="A15" s="42"/>
      <c r="B15" s="56"/>
      <c r="C15" s="57"/>
      <c r="D15" s="57"/>
      <c r="E15" s="57"/>
      <c r="G15" s="37"/>
      <c r="H15" s="37"/>
      <c r="I15" s="37"/>
      <c r="J15" s="37"/>
      <c r="K15" s="1" t="s">
        <v>81</v>
      </c>
      <c r="L15" s="1">
        <v>0.8</v>
      </c>
      <c r="O15" s="49"/>
      <c r="P15" s="42"/>
      <c r="Q15" s="42"/>
      <c r="S15" s="49" t="s">
        <v>28</v>
      </c>
      <c r="T15" s="49"/>
      <c r="U15" s="49"/>
      <c r="V15" s="49"/>
    </row>
    <row r="16" spans="1:22" ht="31.5" x14ac:dyDescent="0.25">
      <c r="A16" s="42"/>
      <c r="B16" s="56"/>
      <c r="C16" s="57"/>
      <c r="D16" s="57"/>
      <c r="E16" s="57"/>
      <c r="F16" s="20" t="s">
        <v>50</v>
      </c>
      <c r="G16" s="37"/>
      <c r="H16" s="37"/>
      <c r="I16" s="37"/>
      <c r="J16" s="37"/>
      <c r="K16" s="6" t="s">
        <v>82</v>
      </c>
      <c r="L16" s="1">
        <f>E14</f>
        <v>0.6</v>
      </c>
      <c r="O16" s="49" t="s">
        <v>13</v>
      </c>
      <c r="P16" s="42" t="e" vm="2">
        <v>#VALUE!</v>
      </c>
      <c r="Q16" s="42"/>
      <c r="S16" s="49" t="s">
        <v>29</v>
      </c>
      <c r="T16" s="49"/>
      <c r="U16" s="49"/>
      <c r="V16" s="49"/>
    </row>
    <row r="17" spans="1:22" x14ac:dyDescent="0.25">
      <c r="A17" s="41" t="s">
        <v>70</v>
      </c>
      <c r="B17" s="41"/>
      <c r="C17" s="41"/>
      <c r="D17" s="2"/>
      <c r="E17" s="2"/>
      <c r="G17" s="41" t="s">
        <v>3</v>
      </c>
      <c r="H17" s="41"/>
      <c r="I17" s="41"/>
      <c r="J17" s="2"/>
      <c r="K17" s="41"/>
      <c r="L17" s="41"/>
      <c r="M17" s="13" t="s">
        <v>44</v>
      </c>
      <c r="O17" s="49"/>
      <c r="P17" s="42"/>
      <c r="Q17" s="42"/>
      <c r="S17" s="3"/>
      <c r="T17" s="4"/>
      <c r="U17" s="4"/>
      <c r="V17" s="5"/>
    </row>
    <row r="18" spans="1:22" ht="16.5" thickBot="1" x14ac:dyDescent="0.3">
      <c r="A18" s="8" t="s">
        <v>38</v>
      </c>
      <c r="B18" s="12">
        <f>B12</f>
        <v>12</v>
      </c>
      <c r="C18" s="12">
        <f t="shared" ref="C18:E18" si="3">C12</f>
        <v>12</v>
      </c>
      <c r="D18" s="12">
        <f t="shared" si="3"/>
        <v>12</v>
      </c>
      <c r="E18" s="12">
        <f t="shared" si="3"/>
        <v>0.75</v>
      </c>
      <c r="G18" s="1" t="s">
        <v>36</v>
      </c>
      <c r="H18" s="1">
        <f>B18/39.37</f>
        <v>0.30480060960121924</v>
      </c>
      <c r="I18" s="1">
        <f>C18/39.37</f>
        <v>0.30480060960121924</v>
      </c>
      <c r="J18" s="1">
        <f>D18/39.37</f>
        <v>0.30480060960121924</v>
      </c>
      <c r="K18" s="37">
        <f>E18/39.37</f>
        <v>1.9050038100076203E-2</v>
      </c>
      <c r="L18" s="37"/>
      <c r="M18" s="13" t="s">
        <v>45</v>
      </c>
      <c r="O18" s="49"/>
      <c r="P18" s="42"/>
      <c r="Q18" s="42"/>
      <c r="S18" s="50" t="s">
        <v>31</v>
      </c>
      <c r="T18" s="50"/>
      <c r="U18" s="50"/>
      <c r="V18" s="50"/>
    </row>
    <row r="19" spans="1:22" ht="16.5" thickBot="1" x14ac:dyDescent="0.3">
      <c r="A19" s="42" t="s">
        <v>39</v>
      </c>
      <c r="B19" s="64">
        <f>IF(H19&lt;H20,H19,H20)*39.27</f>
        <v>11.126212320927159</v>
      </c>
      <c r="C19" s="64">
        <f>I19*39.27</f>
        <v>11.254220347823829</v>
      </c>
      <c r="D19" s="64">
        <f>J19*39.27</f>
        <v>11.126212320927159</v>
      </c>
      <c r="E19" s="66">
        <f>K19*39.37</f>
        <v>0.68705324354365649</v>
      </c>
      <c r="F19" s="53" t="s">
        <v>46</v>
      </c>
      <c r="G19" s="37" t="s">
        <v>37</v>
      </c>
      <c r="H19" s="1">
        <f>H18/(((H13/2)/((H35*H14)-0.6*H13)+1))</f>
        <v>0.28332600766302923</v>
      </c>
      <c r="I19" s="1">
        <f>I18/(((I13/2)/((I35*I14)-0.6*I13)+1))</f>
        <v>0.28658569767822328</v>
      </c>
      <c r="J19" s="1">
        <f>J18/(((J13/2)/((J35*J14)-0.6*J13)+1))</f>
        <v>0.28332600766302923</v>
      </c>
      <c r="K19" s="37">
        <f>K18-K21</f>
        <v>1.7451187288383452E-2</v>
      </c>
      <c r="L19" s="37"/>
    </row>
    <row r="20" spans="1:22" x14ac:dyDescent="0.25">
      <c r="A20" s="42"/>
      <c r="B20" s="64"/>
      <c r="C20" s="64"/>
      <c r="D20" s="64"/>
      <c r="E20" s="67"/>
      <c r="F20" s="53"/>
      <c r="G20" s="37"/>
      <c r="H20" s="1">
        <f>H18/(((H13/2)/((2*H35*H14)+0.4*H13)+1))</f>
        <v>0.29483559755262867</v>
      </c>
      <c r="I20" s="1">
        <f>I18/(((I13/2)/((2*I35*I14)+0.4*I13)+1))</f>
        <v>0.29625491431309198</v>
      </c>
      <c r="J20" s="1">
        <f>J18/(((J13/2)/((2*J35*J14)+0.4*J13)+1))</f>
        <v>0.29483559755262867</v>
      </c>
      <c r="K20" s="37"/>
      <c r="L20" s="37"/>
      <c r="O20" s="54" t="s">
        <v>23</v>
      </c>
      <c r="P20" s="54"/>
      <c r="Q20" s="55"/>
    </row>
    <row r="21" spans="1:22" x14ac:dyDescent="0.25">
      <c r="A21" s="8" t="s">
        <v>43</v>
      </c>
      <c r="B21" s="21">
        <f>B18-B19</f>
        <v>0.87378767907284072</v>
      </c>
      <c r="C21" s="21">
        <f>C18-C19</f>
        <v>0.74577965217617148</v>
      </c>
      <c r="D21" s="21">
        <f>D18-D19</f>
        <v>0.87378767907284072</v>
      </c>
      <c r="E21" s="22">
        <f>K21*39.37</f>
        <v>6.2946756456343511E-2</v>
      </c>
      <c r="F21" s="13" t="s">
        <v>54</v>
      </c>
      <c r="G21" s="1" t="s">
        <v>14</v>
      </c>
      <c r="H21" s="1">
        <f>B21*0.0254</f>
        <v>2.2194207048450154E-2</v>
      </c>
      <c r="I21" s="1">
        <f>C21*0.0254</f>
        <v>1.8942803165274753E-2</v>
      </c>
      <c r="J21" s="1">
        <f>D21*0.0254</f>
        <v>2.2194207048450154E-2</v>
      </c>
      <c r="K21" s="37">
        <f>(K13*K18)/(2*(K35*L16*L15)+(K13*L14))</f>
        <v>1.5988508116927488E-3</v>
      </c>
      <c r="L21" s="37"/>
      <c r="O21" s="46" t="s">
        <v>24</v>
      </c>
      <c r="P21" s="42"/>
      <c r="Q21" s="47"/>
    </row>
    <row r="22" spans="1:22" x14ac:dyDescent="0.25">
      <c r="A22" s="8" t="s">
        <v>5</v>
      </c>
      <c r="B22" s="10">
        <v>30</v>
      </c>
      <c r="C22" s="12">
        <f>B22</f>
        <v>30</v>
      </c>
      <c r="D22" s="12">
        <f>B22</f>
        <v>30</v>
      </c>
      <c r="E22" s="10"/>
      <c r="G22" s="1" t="s">
        <v>5</v>
      </c>
      <c r="H22" s="1">
        <f>B22</f>
        <v>30</v>
      </c>
      <c r="I22" s="1">
        <f>C22</f>
        <v>30</v>
      </c>
      <c r="J22" s="1">
        <f>D22</f>
        <v>30</v>
      </c>
      <c r="K22" s="37"/>
      <c r="L22" s="37"/>
      <c r="O22" s="46"/>
      <c r="P22" s="42"/>
      <c r="Q22" s="47"/>
    </row>
    <row r="23" spans="1:22" x14ac:dyDescent="0.25">
      <c r="A23" s="8"/>
      <c r="B23" s="8"/>
      <c r="C23" s="8"/>
      <c r="D23" s="8"/>
      <c r="E23" s="8"/>
      <c r="G23" s="1"/>
      <c r="H23" s="1"/>
      <c r="I23" s="1"/>
      <c r="J23" s="1"/>
      <c r="K23" s="37"/>
      <c r="L23" s="37"/>
      <c r="O23" s="48" t="s">
        <v>25</v>
      </c>
      <c r="P23" s="42"/>
      <c r="Q23" s="47"/>
    </row>
    <row r="24" spans="1:22" x14ac:dyDescent="0.25">
      <c r="A24" s="8" t="s">
        <v>8</v>
      </c>
      <c r="B24" s="9">
        <f>B11*B22</f>
        <v>100.95</v>
      </c>
      <c r="C24" s="9">
        <f>C11*C22</f>
        <v>201.93</v>
      </c>
      <c r="D24" s="9">
        <f>D11*D22</f>
        <v>100.95</v>
      </c>
      <c r="E24" s="9"/>
      <c r="G24" s="1" t="s">
        <v>8</v>
      </c>
      <c r="H24" s="1">
        <f>H11*H22</f>
        <v>100.95</v>
      </c>
      <c r="I24" s="1">
        <f>I11*I22</f>
        <v>201.93</v>
      </c>
      <c r="J24" s="1">
        <f>J11*J22</f>
        <v>100.95</v>
      </c>
      <c r="K24" s="37"/>
      <c r="L24" s="37"/>
      <c r="O24" s="48"/>
      <c r="P24" s="42"/>
      <c r="Q24" s="47"/>
    </row>
    <row r="25" spans="1:22" x14ac:dyDescent="0.25">
      <c r="A25" s="8" t="s">
        <v>72</v>
      </c>
      <c r="B25" s="10">
        <v>6</v>
      </c>
      <c r="C25" s="10">
        <v>6</v>
      </c>
      <c r="D25" s="12">
        <v>6</v>
      </c>
      <c r="E25" s="10"/>
      <c r="F25" s="13" t="s">
        <v>74</v>
      </c>
      <c r="G25" s="1" t="s">
        <v>72</v>
      </c>
      <c r="H25" s="1">
        <f>B25</f>
        <v>6</v>
      </c>
      <c r="I25" s="1">
        <f>C25</f>
        <v>6</v>
      </c>
      <c r="J25" s="1">
        <f>D25</f>
        <v>6</v>
      </c>
      <c r="K25" s="37"/>
      <c r="L25" s="37"/>
      <c r="O25" s="49" t="s">
        <v>13</v>
      </c>
      <c r="P25" s="42"/>
      <c r="Q25" s="47"/>
    </row>
    <row r="26" spans="1:22" ht="16.5" thickBot="1" x14ac:dyDescent="0.3">
      <c r="A26" s="8" t="s">
        <v>9</v>
      </c>
      <c r="B26" s="23">
        <f>B24/B10</f>
        <v>0.13110389610389611</v>
      </c>
      <c r="C26" s="23">
        <f>C24/C10</f>
        <v>0.17697633654688871</v>
      </c>
      <c r="D26" s="23">
        <f>D24/D10</f>
        <v>0.13110389610389611</v>
      </c>
      <c r="E26" s="23"/>
      <c r="G26" s="1" t="s">
        <v>9</v>
      </c>
      <c r="H26" s="24">
        <f>H24/H10</f>
        <v>0.13110389610389611</v>
      </c>
      <c r="I26" s="24">
        <f>I24/I10</f>
        <v>0.17697633654688871</v>
      </c>
      <c r="J26" s="24">
        <f>J24/J10</f>
        <v>0.13110389610389611</v>
      </c>
      <c r="K26" s="63"/>
      <c r="L26" s="63"/>
      <c r="O26" s="50"/>
      <c r="P26" s="51"/>
      <c r="Q26" s="52"/>
    </row>
    <row r="27" spans="1:22" x14ac:dyDescent="0.25">
      <c r="A27" s="8" t="s">
        <v>73</v>
      </c>
      <c r="B27" s="23">
        <f>B26*(1+(B25/100))</f>
        <v>0.13897012987012988</v>
      </c>
      <c r="C27" s="23">
        <f>C24/C10</f>
        <v>0.17697633654688871</v>
      </c>
      <c r="D27" s="23">
        <f>D24/D10</f>
        <v>0.13110389610389611</v>
      </c>
      <c r="E27" s="23"/>
      <c r="G27" s="1" t="s">
        <v>73</v>
      </c>
      <c r="H27" s="24">
        <f>H26*(1+(H25/100))</f>
        <v>0.13897012987012988</v>
      </c>
      <c r="I27" s="24">
        <f>I26*(1+(I25/100))</f>
        <v>0.18759491673970205</v>
      </c>
      <c r="J27" s="24">
        <f>J26*(1+(J25/100))</f>
        <v>0.13897012987012988</v>
      </c>
      <c r="K27" s="63"/>
      <c r="L27" s="63"/>
    </row>
    <row r="28" spans="1:22" x14ac:dyDescent="0.25">
      <c r="A28" s="8" t="s">
        <v>64</v>
      </c>
      <c r="B28" s="23">
        <f ca="1">H28</f>
        <v>0.13089789361403639</v>
      </c>
      <c r="C28" s="23">
        <f>I28</f>
        <v>0.17979431704219873</v>
      </c>
      <c r="D28" s="23">
        <f ca="1">J28</f>
        <v>0.13325824969852737</v>
      </c>
      <c r="E28" s="23"/>
      <c r="G28" s="1" t="s">
        <v>64</v>
      </c>
      <c r="H28" s="1">
        <f ca="1">H27-2*H40-L28</f>
        <v>0.13089789361403639</v>
      </c>
      <c r="I28" s="1">
        <f>I27-2*I40</f>
        <v>0.17979431704219873</v>
      </c>
      <c r="J28" s="24">
        <f ca="1">J27-J40-J41-L28</f>
        <v>0.13325824969852737</v>
      </c>
      <c r="K28" s="24" t="s">
        <v>83</v>
      </c>
      <c r="L28" s="25">
        <f ca="1">(PI()*K19^2)/4 *(H29+H38+H39)</f>
        <v>5.1658321034818693E-4</v>
      </c>
    </row>
    <row r="29" spans="1:22" x14ac:dyDescent="0.25">
      <c r="A29" s="8" t="s">
        <v>40</v>
      </c>
      <c r="B29" s="26">
        <f ca="1">H29*39.37</f>
        <v>81.74012685588967</v>
      </c>
      <c r="C29" s="26">
        <f>I29*39.37</f>
        <v>109.73431787159997</v>
      </c>
      <c r="D29" s="26">
        <f ca="1">J29*39.37</f>
        <v>83.214068112272685</v>
      </c>
      <c r="E29" s="26">
        <f ca="1">L29*39.37</f>
        <v>85.028763086313035</v>
      </c>
      <c r="G29" s="1" t="s">
        <v>10</v>
      </c>
      <c r="H29" s="27">
        <f ca="1">H28/(PI()*(((H19))^2)/4)</f>
        <v>2.0762033745463468</v>
      </c>
      <c r="I29" s="27">
        <f>I28/(PI()*(((I19))^2)/4)</f>
        <v>2.7872572484531362</v>
      </c>
      <c r="J29" s="27">
        <f ca="1">J28/(PI()*(((J19))^2)/4)</f>
        <v>2.1136415573348408</v>
      </c>
      <c r="K29" s="27" t="s">
        <v>84</v>
      </c>
      <c r="L29" s="27">
        <f ca="1">L28/((PI()*K19^2)/4)</f>
        <v>2.159734901862155</v>
      </c>
    </row>
    <row r="30" spans="1:22" x14ac:dyDescent="0.25">
      <c r="A30" s="8"/>
      <c r="B30" s="28"/>
      <c r="C30" s="28"/>
      <c r="D30" s="28"/>
      <c r="E30" s="28"/>
      <c r="G30" s="1"/>
      <c r="H30" s="1"/>
      <c r="I30" s="1"/>
      <c r="J30" s="1"/>
      <c r="K30" s="37"/>
      <c r="L30" s="37"/>
    </row>
    <row r="31" spans="1:22" x14ac:dyDescent="0.25">
      <c r="A31" s="8"/>
      <c r="B31" s="28"/>
      <c r="C31" s="28"/>
      <c r="D31" s="28"/>
      <c r="E31" s="28"/>
      <c r="G31" s="1"/>
      <c r="H31" s="1"/>
      <c r="I31" s="1"/>
      <c r="J31" s="1"/>
      <c r="K31" s="37"/>
      <c r="L31" s="37"/>
    </row>
    <row r="32" spans="1:22" x14ac:dyDescent="0.25">
      <c r="A32" s="8" t="s">
        <v>17</v>
      </c>
      <c r="B32" s="29">
        <f>((H13*H19/2)/H21)/1000000</f>
        <v>44.008439236651178</v>
      </c>
      <c r="C32" s="29">
        <f>((I13*I19/2)/I21)/1000000</f>
        <v>44.332104639724264</v>
      </c>
      <c r="D32" s="29">
        <f>((J13*J19/2)/J21)/1000000</f>
        <v>44.008439236651178</v>
      </c>
      <c r="E32" s="29"/>
      <c r="G32" s="1" t="s">
        <v>33</v>
      </c>
      <c r="H32" s="1">
        <f>B32/0.000001</f>
        <v>44008439.236651182</v>
      </c>
      <c r="I32" s="1">
        <f>C32/0.000001</f>
        <v>44332104.63972427</v>
      </c>
      <c r="J32" s="1">
        <f>D32/0.000001</f>
        <v>44008439.236651182</v>
      </c>
      <c r="K32" s="37"/>
      <c r="L32" s="37"/>
    </row>
    <row r="33" spans="1:13" x14ac:dyDescent="0.25">
      <c r="A33" s="8" t="s">
        <v>18</v>
      </c>
      <c r="B33" s="29">
        <f>H33/(1000000)</f>
        <v>22.004219618325589</v>
      </c>
      <c r="C33" s="29">
        <f>I33/(1000000)</f>
        <v>22.166052319862132</v>
      </c>
      <c r="D33" s="29">
        <f>J33/(1000000)</f>
        <v>22.004219618325589</v>
      </c>
      <c r="E33" s="29"/>
      <c r="G33" s="1" t="s">
        <v>34</v>
      </c>
      <c r="H33" s="1">
        <f>H13*IF(H19&lt;H20,H19,H20)/(4*H21)</f>
        <v>22004219.618325587</v>
      </c>
      <c r="I33" s="1">
        <f>I13*IF(I19&lt;I20,I19,I20)/(4*I21)</f>
        <v>22166052.319862131</v>
      </c>
      <c r="J33" s="1">
        <f>J13*IF(J19&lt;J20,J19,J20)/(4*J21)</f>
        <v>22004219.618325587</v>
      </c>
      <c r="K33" s="37"/>
      <c r="L33" s="37"/>
    </row>
    <row r="34" spans="1:13" x14ac:dyDescent="0.25">
      <c r="A34" s="8"/>
      <c r="B34" s="8"/>
      <c r="C34" s="8"/>
      <c r="D34" s="8"/>
      <c r="E34" s="8"/>
      <c r="G34" s="1"/>
      <c r="H34" s="1"/>
      <c r="I34" s="1"/>
      <c r="J34" s="1"/>
      <c r="K34" s="37"/>
      <c r="L34" s="37"/>
    </row>
    <row r="35" spans="1:13" x14ac:dyDescent="0.25">
      <c r="A35" s="19" t="s">
        <v>56</v>
      </c>
      <c r="B35" s="10">
        <v>82.7</v>
      </c>
      <c r="C35" s="12">
        <f>B35</f>
        <v>82.7</v>
      </c>
      <c r="D35" s="12">
        <f>B35</f>
        <v>82.7</v>
      </c>
      <c r="E35" s="10"/>
      <c r="F35" s="13" t="s">
        <v>79</v>
      </c>
      <c r="G35" s="6" t="s">
        <v>42</v>
      </c>
      <c r="H35" s="1">
        <f>B35/0.000001</f>
        <v>82700000</v>
      </c>
      <c r="I35" s="1">
        <f>C35/0.000001</f>
        <v>82700000</v>
      </c>
      <c r="J35" s="1">
        <f>D35/0.000001</f>
        <v>82700000</v>
      </c>
      <c r="K35" s="37">
        <f>I35</f>
        <v>82700000</v>
      </c>
      <c r="L35" s="37"/>
    </row>
    <row r="36" spans="1:13" x14ac:dyDescent="0.25">
      <c r="A36" s="41" t="s">
        <v>68</v>
      </c>
      <c r="B36" s="41"/>
      <c r="C36" s="41"/>
      <c r="D36" s="2"/>
      <c r="E36" s="2"/>
      <c r="G36" s="41" t="s">
        <v>68</v>
      </c>
      <c r="H36" s="41"/>
      <c r="I36" s="41"/>
      <c r="J36" s="2"/>
      <c r="K36" s="41"/>
      <c r="L36" s="41"/>
    </row>
    <row r="37" spans="1:13" x14ac:dyDescent="0.25">
      <c r="A37" s="8" t="s">
        <v>41</v>
      </c>
      <c r="B37" s="21">
        <f>H37*39.37</f>
        <v>0.78588888752034625</v>
      </c>
      <c r="C37" s="21">
        <f>I37*39.37</f>
        <v>0.67426586183880766</v>
      </c>
      <c r="D37" s="21">
        <f>J37*39.37</f>
        <v>0.78588888752034625</v>
      </c>
      <c r="E37" s="21"/>
      <c r="F37" s="13" t="s">
        <v>55</v>
      </c>
      <c r="G37" s="1" t="s">
        <v>35</v>
      </c>
      <c r="H37" s="1">
        <f>((H13*H19)/(2*H35*B14 - 0.2*H13))</f>
        <v>1.9961617666252127E-2</v>
      </c>
      <c r="I37" s="1">
        <f>((I13*I19)/(2*I35*C14 - 0.2*I13))</f>
        <v>1.7126387143480002E-2</v>
      </c>
      <c r="J37" s="1">
        <f>((J13*J19)/(2*J35*D14 - 0.2*J13))</f>
        <v>1.9961617666252127E-2</v>
      </c>
      <c r="K37" s="37"/>
      <c r="L37" s="37"/>
    </row>
    <row r="38" spans="1:13" x14ac:dyDescent="0.25">
      <c r="A38" s="8" t="s">
        <v>57</v>
      </c>
      <c r="B38" s="10">
        <v>0.5</v>
      </c>
      <c r="C38" s="10">
        <v>0.5</v>
      </c>
      <c r="D38" s="10">
        <v>0.5</v>
      </c>
      <c r="E38" s="10"/>
      <c r="G38" s="1" t="s">
        <v>60</v>
      </c>
      <c r="H38" s="1">
        <f>B38/39.37</f>
        <v>1.2700025400050802E-2</v>
      </c>
      <c r="I38" s="1">
        <f>C38/39.37</f>
        <v>1.2700025400050802E-2</v>
      </c>
      <c r="J38" s="1">
        <f>D38/39.37</f>
        <v>1.2700025400050802E-2</v>
      </c>
      <c r="K38" s="37"/>
      <c r="L38" s="37"/>
      <c r="M38" s="13" t="s">
        <v>75</v>
      </c>
    </row>
    <row r="39" spans="1:13" x14ac:dyDescent="0.25">
      <c r="A39" s="8" t="s">
        <v>58</v>
      </c>
      <c r="B39" s="21">
        <f t="shared" ref="B39:C39" si="4">H39*39.37</f>
        <v>2.7886362304233652</v>
      </c>
      <c r="C39" s="21">
        <f t="shared" si="4"/>
        <v>2.8207197293979123</v>
      </c>
      <c r="D39" s="21">
        <f>J39*39.37</f>
        <v>2.7886362304233652</v>
      </c>
      <c r="E39" s="9"/>
      <c r="F39" s="13" t="s">
        <v>63</v>
      </c>
      <c r="G39" s="1" t="s">
        <v>61</v>
      </c>
      <c r="H39" s="1">
        <f>H19/4</f>
        <v>7.0831501915757308E-2</v>
      </c>
      <c r="I39" s="1">
        <f>I19/4</f>
        <v>7.1646424419555821E-2</v>
      </c>
      <c r="J39" s="1">
        <f>J19/4</f>
        <v>7.0831501915757308E-2</v>
      </c>
      <c r="K39" s="37"/>
      <c r="L39" s="37"/>
      <c r="M39" s="13" t="s">
        <v>76</v>
      </c>
    </row>
    <row r="40" spans="1:13" x14ac:dyDescent="0.25">
      <c r="A40" s="42" t="s">
        <v>59</v>
      </c>
      <c r="B40" s="65">
        <f>H40</f>
        <v>3.7778265228726499E-3</v>
      </c>
      <c r="C40" s="65">
        <f>I40</f>
        <v>3.9002998487516626E-3</v>
      </c>
      <c r="D40" s="9">
        <f>J40</f>
        <v>3.7778265228726499E-3</v>
      </c>
      <c r="E40" s="9"/>
      <c r="F40" s="13" t="s">
        <v>75</v>
      </c>
      <c r="G40" s="37" t="s">
        <v>62</v>
      </c>
      <c r="H40" s="37">
        <f>(PI()*H19^3)/24+((PI()*(H19^2))/4)*H38</f>
        <v>3.7778265228726499E-3</v>
      </c>
      <c r="I40" s="37">
        <f>(PI()*I19^3)/24+((PI()*(I19^2))/4)*I38</f>
        <v>3.9002998487516626E-3</v>
      </c>
      <c r="J40" s="1">
        <f>(PI()*J19^3)/24+((PI()*(J19^2))/4)*J38</f>
        <v>3.7778265228726499E-3</v>
      </c>
      <c r="K40" s="37"/>
      <c r="L40" s="37"/>
    </row>
    <row r="41" spans="1:13" x14ac:dyDescent="0.25">
      <c r="A41" s="42"/>
      <c r="B41" s="65"/>
      <c r="C41" s="65"/>
      <c r="D41" s="9">
        <f>J41</f>
        <v>1.4174704383816731E-3</v>
      </c>
      <c r="E41" s="9"/>
      <c r="F41" s="13" t="s">
        <v>76</v>
      </c>
      <c r="G41" s="37"/>
      <c r="H41" s="37"/>
      <c r="I41" s="37"/>
      <c r="J41" s="1">
        <f>(((PI()*J19^2)/4)*(I39+I38))-I40</f>
        <v>1.4174704383816731E-3</v>
      </c>
      <c r="K41" s="37"/>
      <c r="L41" s="37"/>
    </row>
    <row r="42" spans="1:13" x14ac:dyDescent="0.25">
      <c r="A42" s="41" t="s">
        <v>71</v>
      </c>
      <c r="B42" s="41"/>
      <c r="C42" s="41"/>
      <c r="D42" s="2"/>
      <c r="E42" s="2"/>
      <c r="G42" s="41" t="s">
        <v>71</v>
      </c>
      <c r="H42" s="41"/>
      <c r="I42" s="41"/>
      <c r="J42" s="2"/>
      <c r="K42" s="41"/>
      <c r="L42" s="41"/>
    </row>
    <row r="43" spans="1:13" ht="31.5" x14ac:dyDescent="0.25">
      <c r="A43" s="19" t="s">
        <v>52</v>
      </c>
      <c r="B43" s="30">
        <f t="shared" ref="B43:D44" si="5">H43/6895</f>
        <v>1030.5944244706898</v>
      </c>
      <c r="C43" s="30">
        <f t="shared" si="5"/>
        <v>881.44020474437207</v>
      </c>
      <c r="D43" s="30">
        <f t="shared" si="5"/>
        <v>1030.5944244706898</v>
      </c>
      <c r="E43" s="30"/>
      <c r="F43" s="13" t="s">
        <v>54</v>
      </c>
      <c r="G43" s="6" t="s">
        <v>65</v>
      </c>
      <c r="H43" s="31">
        <f>(H35*H14*H21)/((H19/2)+(0.6*H21))</f>
        <v>7105948.5567254061</v>
      </c>
      <c r="I43" s="1">
        <f>(I35*I14*I21)/((I19/2)+(0.6*I21))</f>
        <v>6077530.2117124451</v>
      </c>
      <c r="J43" s="31">
        <f>(J35*J14*J21)/((J19/2)+(0.6*J21))</f>
        <v>7105948.5567254061</v>
      </c>
      <c r="K43" s="37"/>
      <c r="L43" s="37"/>
    </row>
    <row r="44" spans="1:13" ht="31.5" x14ac:dyDescent="0.25">
      <c r="A44" s="19" t="s">
        <v>51</v>
      </c>
      <c r="B44" s="30">
        <f t="shared" si="5"/>
        <v>2405.7032254603105</v>
      </c>
      <c r="C44" s="30">
        <f t="shared" si="5"/>
        <v>2008.9380860605445</v>
      </c>
      <c r="D44" s="30">
        <f t="shared" si="5"/>
        <v>2405.7032254603105</v>
      </c>
      <c r="E44" s="30"/>
      <c r="F44" s="13" t="s">
        <v>54</v>
      </c>
      <c r="G44" s="6" t="s">
        <v>66</v>
      </c>
      <c r="H44" s="1">
        <f>(2*H35*H14*H21)/((H19/2)-(0.4*H21))</f>
        <v>16587323.739548841</v>
      </c>
      <c r="I44" s="1">
        <f>(2*I35*I14*I21)/((I19/2)-(0.4*I21))</f>
        <v>13851628.103387455</v>
      </c>
      <c r="J44" s="1">
        <f>(2*J35*J14*J21)/((J19/2)-(0.4*J21))</f>
        <v>16587323.739548841</v>
      </c>
      <c r="K44" s="37"/>
      <c r="L44" s="37"/>
    </row>
    <row r="45" spans="1:13" ht="31.5" x14ac:dyDescent="0.25">
      <c r="A45" s="8" t="s">
        <v>53</v>
      </c>
      <c r="B45" s="30">
        <f>IF(B43&lt;B44,B43,B44)*1.5</f>
        <v>1545.8916367060347</v>
      </c>
      <c r="C45" s="30">
        <f t="shared" ref="C45:D45" si="6">IF(C43&lt;C44,C43,C44)*1.5</f>
        <v>1322.1603071165582</v>
      </c>
      <c r="D45" s="30">
        <f t="shared" si="6"/>
        <v>1545.8916367060347</v>
      </c>
      <c r="E45" s="30"/>
      <c r="F45" s="20" t="s">
        <v>85</v>
      </c>
      <c r="G45" s="1" t="s">
        <v>67</v>
      </c>
      <c r="H45" s="31">
        <f>IF(H43&lt;H44,H43,H44)*1.3</f>
        <v>9237733.1237430274</v>
      </c>
      <c r="I45" s="31">
        <f>IF(I43&lt;I44,I43,I44)*1.3</f>
        <v>7900789.2752261786</v>
      </c>
      <c r="J45" s="31">
        <f>IF(J43&lt;J44,J43,J44)*1.3</f>
        <v>9237733.1237430274</v>
      </c>
      <c r="K45" s="62"/>
      <c r="L45" s="62"/>
    </row>
    <row r="46" spans="1:13" x14ac:dyDescent="0.25">
      <c r="A46" s="8" t="s">
        <v>86</v>
      </c>
      <c r="B46" s="30">
        <f>IF(B43&lt;B44,B43,B44)*1.25</f>
        <v>1288.2430305883622</v>
      </c>
      <c r="C46" s="30">
        <f t="shared" ref="C46:D46" si="7">IF(C43&lt;C44,C43,C44)*1.25</f>
        <v>1101.800255930465</v>
      </c>
      <c r="D46" s="30">
        <f t="shared" si="7"/>
        <v>1288.2430305883622</v>
      </c>
      <c r="E46" s="9"/>
      <c r="F46" s="13" t="s">
        <v>87</v>
      </c>
      <c r="G46" s="1" t="s">
        <v>88</v>
      </c>
      <c r="H46" s="1">
        <f>IF(H43&lt;H44,H43,H44)*1.25</f>
        <v>8882435.6959067583</v>
      </c>
      <c r="I46" s="1">
        <f t="shared" ref="I46:J46" si="8">IF(I43&lt;I44,I43,I44)*1.25</f>
        <v>7596912.7646405566</v>
      </c>
      <c r="J46" s="1">
        <f t="shared" si="8"/>
        <v>8882435.6959067583</v>
      </c>
      <c r="K46" s="1"/>
      <c r="L46" s="1"/>
    </row>
    <row r="51" spans="15:16" x14ac:dyDescent="0.25">
      <c r="O51" s="13" t="s">
        <v>47</v>
      </c>
    </row>
    <row r="53" spans="15:16" x14ac:dyDescent="0.25">
      <c r="O53" s="13" t="s">
        <v>48</v>
      </c>
      <c r="P53" s="13" t="s">
        <v>49</v>
      </c>
    </row>
  </sheetData>
  <mergeCells count="81">
    <mergeCell ref="E3:E5"/>
    <mergeCell ref="E19:E20"/>
    <mergeCell ref="O25:O26"/>
    <mergeCell ref="P25:Q26"/>
    <mergeCell ref="O23:O24"/>
    <mergeCell ref="P23:Q24"/>
    <mergeCell ref="P14:Q15"/>
    <mergeCell ref="P16:Q18"/>
    <mergeCell ref="O16:O18"/>
    <mergeCell ref="O14:O15"/>
    <mergeCell ref="G9:I9"/>
    <mergeCell ref="G14:G16"/>
    <mergeCell ref="H14:H16"/>
    <mergeCell ref="G17:I17"/>
    <mergeCell ref="K7:L9"/>
    <mergeCell ref="K10:L10"/>
    <mergeCell ref="S18:V18"/>
    <mergeCell ref="O13:Q13"/>
    <mergeCell ref="O20:Q20"/>
    <mergeCell ref="O21:O22"/>
    <mergeCell ref="P21:Q22"/>
    <mergeCell ref="S14:V14"/>
    <mergeCell ref="S15:V15"/>
    <mergeCell ref="S16:V16"/>
    <mergeCell ref="T13:V13"/>
    <mergeCell ref="A42:C42"/>
    <mergeCell ref="G42:I42"/>
    <mergeCell ref="A36:C36"/>
    <mergeCell ref="G36:I36"/>
    <mergeCell ref="D19:D20"/>
    <mergeCell ref="A19:A20"/>
    <mergeCell ref="B19:B20"/>
    <mergeCell ref="C19:C20"/>
    <mergeCell ref="G19:G20"/>
    <mergeCell ref="B40:B41"/>
    <mergeCell ref="C40:C41"/>
    <mergeCell ref="A40:A41"/>
    <mergeCell ref="G40:G41"/>
    <mergeCell ref="H40:H41"/>
    <mergeCell ref="I40:I41"/>
    <mergeCell ref="F19:F20"/>
    <mergeCell ref="A17:C17"/>
    <mergeCell ref="K21:L21"/>
    <mergeCell ref="K22:L22"/>
    <mergeCell ref="K23:L23"/>
    <mergeCell ref="I14:I16"/>
    <mergeCell ref="J14:J16"/>
    <mergeCell ref="K19:L20"/>
    <mergeCell ref="A14:A16"/>
    <mergeCell ref="B14:B16"/>
    <mergeCell ref="C14:C16"/>
    <mergeCell ref="D14:D16"/>
    <mergeCell ref="E14:E16"/>
    <mergeCell ref="K17:L17"/>
    <mergeCell ref="K18:L18"/>
    <mergeCell ref="K35:L35"/>
    <mergeCell ref="K24:L24"/>
    <mergeCell ref="K25:L25"/>
    <mergeCell ref="K26:L26"/>
    <mergeCell ref="K27:L27"/>
    <mergeCell ref="K30:L30"/>
    <mergeCell ref="K31:L31"/>
    <mergeCell ref="K32:L32"/>
    <mergeCell ref="K33:L33"/>
    <mergeCell ref="K34:L34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11:L11"/>
    <mergeCell ref="K12:L12"/>
    <mergeCell ref="K13:L13"/>
    <mergeCell ref="A7:C7"/>
    <mergeCell ref="G7:I7"/>
    <mergeCell ref="A9:C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Calculator</vt:lpstr>
      <vt:lpstr>Downcomer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Gravestock</dc:creator>
  <cp:lastModifiedBy>Jack Gravestock</cp:lastModifiedBy>
  <dcterms:created xsi:type="dcterms:W3CDTF">2026-02-13T19:46:16Z</dcterms:created>
  <dcterms:modified xsi:type="dcterms:W3CDTF">2026-04-27T02:37:25Z</dcterms:modified>
</cp:coreProperties>
</file>